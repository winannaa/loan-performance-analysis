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Winanaa\Downloads\"/>
    </mc:Choice>
  </mc:AlternateContent>
  <xr:revisionPtr revIDLastSave="0" documentId="13_ncr:1_{3E67DC6D-9BE9-49F7-8DDB-98E609DF0CA6}" xr6:coauthVersionLast="47" xr6:coauthVersionMax="47" xr10:uidLastSave="{00000000-0000-0000-0000-000000000000}"/>
  <bookViews>
    <workbookView xWindow="-110" yWindow="-110" windowWidth="19420" windowHeight="10300" firstSheet="3" activeTab="5" xr2:uid="{FD358550-AC3B-4C5E-9798-78F510C0BC39}"/>
  </bookViews>
  <sheets>
    <sheet name="Data" sheetId="1" r:id="rId1"/>
    <sheet name="Loan Status By Risk Profile" sheetId="2" r:id="rId2"/>
    <sheet name="Total Pembiayaan &amp; Peminjam" sheetId="11" r:id="rId3"/>
    <sheet name="Total Loan Amount By Purpose" sheetId="8" r:id="rId4"/>
    <sheet name="Default Volume by Loan Purpose" sheetId="7" r:id="rId5"/>
    <sheet name="Dashboard" sheetId="6" r:id="rId6"/>
  </sheets>
  <definedNames>
    <definedName name="_xlnm._FilterDatabase" localSheetId="0" hidden="1">Data!$A$5:$E$316</definedName>
    <definedName name="Slicer_profil_risiko">#N/A</definedName>
    <definedName name="Slicer_status_pinjaman">#N/A</definedName>
  </definedNames>
  <calcPr calcId="191029" concurrentCalc="0"/>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Z16" i="6" l="1"/>
  <c r="Z12" i="6"/>
</calcChain>
</file>

<file path=xl/sharedStrings.xml><?xml version="1.0" encoding="utf-8"?>
<sst xmlns="http://schemas.openxmlformats.org/spreadsheetml/2006/main" count="997" uniqueCount="49">
  <si>
    <t>profil_risiko</t>
  </si>
  <si>
    <t>status_pinjaman</t>
  </si>
  <si>
    <t>total_peminjam</t>
  </si>
  <si>
    <t>total_nominal_pinjaman</t>
  </si>
  <si>
    <t>High Risk</t>
  </si>
  <si>
    <t>Charged Off</t>
  </si>
  <si>
    <t>Current</t>
  </si>
  <si>
    <t>Default</t>
  </si>
  <si>
    <t>Fully Paid</t>
  </si>
  <si>
    <t>In Grace Period</t>
  </si>
  <si>
    <t>Late (16-30 days)</t>
  </si>
  <si>
    <t>Late (31-120 days)</t>
  </si>
  <si>
    <t>Low Risk</t>
  </si>
  <si>
    <t>Does not meet the credit policy. Status:Charged Off</t>
  </si>
  <si>
    <t>Does not meet the credit policy. Status:Fully Paid</t>
  </si>
  <si>
    <t>Medium Risk</t>
  </si>
  <si>
    <t>debt_consolidation</t>
  </si>
  <si>
    <t>home_improvement</t>
  </si>
  <si>
    <t>Row Labels</t>
  </si>
  <si>
    <t>Grand Total</t>
  </si>
  <si>
    <t>Sum of total_peminjam</t>
  </si>
  <si>
    <t>Column Labels</t>
  </si>
  <si>
    <t>Sum of total_nominal_pinjaman</t>
  </si>
  <si>
    <t>DIGITAL LENDING RISK &amp; PERFORMANCE DASHBOARD</t>
  </si>
  <si>
    <t>Total Loans</t>
  </si>
  <si>
    <t>Total Amount Disbursed</t>
  </si>
  <si>
    <t>Debt Consolidation</t>
  </si>
  <si>
    <t xml:space="preserve">Home Improvement </t>
  </si>
  <si>
    <t>Small Business</t>
  </si>
  <si>
    <t>Credit Card</t>
  </si>
  <si>
    <t>Other</t>
  </si>
  <si>
    <t xml:space="preserve">Major Purchase </t>
  </si>
  <si>
    <t>Medical</t>
  </si>
  <si>
    <t>Car</t>
  </si>
  <si>
    <t>credit_Card</t>
  </si>
  <si>
    <t>House</t>
  </si>
  <si>
    <t>Moving</t>
  </si>
  <si>
    <t>Vacation</t>
  </si>
  <si>
    <t>Wedding</t>
  </si>
  <si>
    <t>Renewable Energy</t>
  </si>
  <si>
    <t>Educational</t>
  </si>
  <si>
    <t>Home Improvement</t>
  </si>
  <si>
    <t xml:space="preserve">Renewable Energy </t>
  </si>
  <si>
    <t>Tujuan Pinjaman</t>
  </si>
  <si>
    <t>DATA PINJAMAN</t>
  </si>
  <si>
    <t>DEFAULT VOLUME BY LOAN PURPOSE</t>
  </si>
  <si>
    <t>TOTAL LOAN AMOUNT BY PURPOSE</t>
  </si>
  <si>
    <t>LOAN STATUS BY RISK PROFILE</t>
  </si>
  <si>
    <t>TOTAL PEMBIAYAAN &amp; PEMINJAMAN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</si>
</sst>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quot;$&quot;#,##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2"/>
      <color theme="1"/>
      <name val="Calibri"/>
      <family val="2"/>
      <scheme val="minor"/>
    </font>
    <font>
      <sz val="18"/>
      <color theme="1"/>
      <name val="Calibri"/>
      <family val="2"/>
      <scheme val="minor"/>
    </font>
    <font>
      <b/>
      <sz val="18"/>
      <color theme="0"/>
      <name val="Calibri"/>
      <family val="2"/>
      <scheme val="minor"/>
    </font>
    <font>
      <b/>
      <sz val="22"/>
      <color theme="1"/>
      <name val="Calibri"/>
      <family val="2"/>
      <scheme val="minor"/>
    </font>
    <font>
      <sz val="22"/>
      <color theme="1"/>
      <name val="Calibri"/>
      <family val="2"/>
      <scheme val="minor"/>
    </font>
    <font>
      <b/>
      <sz val="14"/>
      <color theme="1"/>
      <name val="Calibri"/>
      <family val="2"/>
      <scheme val="minor"/>
    </font>
    <font>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
      <patternFill patternType="solid">
        <fgColor theme="3" tint="-0.249977111117893"/>
        <bgColor indexed="64"/>
      </patternFill>
    </fill>
    <fill>
      <patternFill patternType="solid">
        <fgColor theme="8" tint="-0.49998474074526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0" fillId="0" borderId="0" xfId="0" pivotButton="1"/>
    <xf numFmtId="0" fontId="0" fillId="0" borderId="0" xfId="0" applyAlignment="1">
      <alignment horizontal="left"/>
    </xf>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64" fontId="19" fillId="0" borderId="10" xfId="1" applyNumberFormat="1" applyFont="1" applyBorder="1"/>
    <xf numFmtId="165" fontId="19" fillId="0" borderId="10" xfId="0" applyNumberFormat="1" applyFont="1" applyBorder="1"/>
    <xf numFmtId="0" fontId="20" fillId="34" borderId="10" xfId="0" applyFont="1" applyFill="1" applyBorder="1" applyAlignment="1">
      <alignment horizontal="center" vertical="center"/>
    </xf>
    <xf numFmtId="0" fontId="0" fillId="0" borderId="0" xfId="0" applyAlignment="1">
      <alignment horizontal="center" vertical="center"/>
    </xf>
    <xf numFmtId="0" fontId="0" fillId="0" borderId="10" xfId="0" applyBorder="1"/>
    <xf numFmtId="0" fontId="13" fillId="35" borderId="10" xfId="0" applyFont="1" applyFill="1" applyBorder="1" applyAlignment="1">
      <alignment horizontal="center" vertical="center"/>
    </xf>
    <xf numFmtId="0" fontId="0" fillId="0" borderId="0" xfId="0" pivotButton="1" applyAlignment="1">
      <alignment horizontal="center" vertical="center"/>
    </xf>
    <xf numFmtId="0" fontId="21" fillId="33" borderId="0" xfId="0" applyFont="1" applyFill="1" applyAlignment="1">
      <alignment horizontal="center" vertical="center"/>
    </xf>
    <xf numFmtId="0" fontId="22" fillId="33" borderId="0" xfId="0" applyFont="1" applyFill="1" applyAlignment="1">
      <alignment horizontal="center" vertical="center"/>
    </xf>
    <xf numFmtId="0" fontId="16" fillId="0" borderId="0" xfId="0" applyFont="1" applyAlignment="1">
      <alignment horizontal="center" vertical="center"/>
    </xf>
    <xf numFmtId="0" fontId="0" fillId="0" borderId="0" xfId="0" applyAlignment="1">
      <alignment horizontal="center" vertical="center"/>
    </xf>
    <xf numFmtId="0" fontId="23" fillId="0" borderId="0" xfId="0" applyFont="1" applyAlignment="1">
      <alignment horizontal="center" vertical="center"/>
    </xf>
    <xf numFmtId="0" fontId="24" fillId="0" borderId="0" xfId="0" applyFont="1" applyAlignment="1">
      <alignment horizontal="center" vertical="center"/>
    </xf>
    <xf numFmtId="0" fontId="18" fillId="33" borderId="11" xfId="0" applyFont="1" applyFill="1" applyBorder="1" applyAlignment="1">
      <alignment horizontal="center" vertical="center"/>
    </xf>
    <xf numFmtId="0" fontId="18" fillId="33" borderId="12" xfId="0" applyFont="1" applyFill="1" applyBorder="1" applyAlignment="1">
      <alignment horizontal="center" vertical="center"/>
    </xf>
    <xf numFmtId="0" fontId="18" fillId="33" borderId="13" xfId="0" applyFont="1" applyFill="1" applyBorder="1" applyAlignment="1">
      <alignment horizontal="center" vertical="center"/>
    </xf>
    <xf numFmtId="0" fontId="18" fillId="33" borderId="14" xfId="0" applyFont="1" applyFill="1" applyBorder="1" applyAlignment="1">
      <alignment horizontal="center" vertical="center"/>
    </xf>
    <xf numFmtId="0" fontId="18" fillId="33" borderId="0" xfId="0" applyFont="1" applyFill="1" applyAlignment="1">
      <alignment horizontal="center" vertical="center"/>
    </xf>
    <xf numFmtId="0" fontId="18" fillId="33" borderId="15" xfId="0" applyFont="1" applyFill="1" applyBorder="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4">
    <dxf>
      <alignment horizontal="center"/>
    </dxf>
    <dxf>
      <alignment horizont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LENDING RISK &amp; PERFORMANCE.xlsx]Loan Status By Risk Profile!PivotTable1</c:name>
    <c:fmtId val="0"/>
  </c:pivotSource>
  <c:chart>
    <c:title>
      <c:tx>
        <c:rich>
          <a:bodyPr/>
          <a:lstStyle/>
          <a:p>
            <a:pPr>
              <a:defRPr sz="1300"/>
            </a:pPr>
            <a:r>
              <a:rPr lang="en-US" sz="1300" b="1" i="0" u="none" strike="noStrike" baseline="0"/>
              <a:t>LOAN STATUS BY RISK PROFILE</a:t>
            </a:r>
            <a:endParaRPr lang="en-US" sz="1300"/>
          </a:p>
        </c:rich>
      </c:tx>
      <c:overlay val="0"/>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'Loan Status By Risk Profile'!$B$5:$B$6</c:f>
              <c:strCache>
                <c:ptCount val="1"/>
                <c:pt idx="0">
                  <c:v>Charged Off</c:v>
                </c:pt>
              </c:strCache>
            </c:strRef>
          </c:tx>
          <c:spPr>
            <a:solidFill>
              <a:schemeClr val="accent1"/>
            </a:solidFill>
            <a:ln>
              <a:noFill/>
            </a:ln>
            <a:effectLst/>
          </c:spPr>
          <c:invertIfNegative val="0"/>
          <c:cat>
            <c:strRef>
              <c:f>'Loan Status By Risk Profile'!$A$7:$A$10</c:f>
              <c:strCache>
                <c:ptCount val="3"/>
                <c:pt idx="0">
                  <c:v>High Risk</c:v>
                </c:pt>
                <c:pt idx="1">
                  <c:v>Low Risk</c:v>
                </c:pt>
                <c:pt idx="2">
                  <c:v>Medium Risk</c:v>
                </c:pt>
              </c:strCache>
            </c:strRef>
          </c:cat>
          <c:val>
            <c:numRef>
              <c:f>'Loan Status By Risk Profile'!$B$7:$B$10</c:f>
              <c:numCache>
                <c:formatCode>General</c:formatCode>
                <c:ptCount val="3"/>
                <c:pt idx="0">
                  <c:v>77188</c:v>
                </c:pt>
                <c:pt idx="1">
                  <c:v>79499</c:v>
                </c:pt>
                <c:pt idx="2">
                  <c:v>104968</c:v>
                </c:pt>
              </c:numCache>
            </c:numRef>
          </c:val>
          <c:extLst>
            <c:ext xmlns:c16="http://schemas.microsoft.com/office/drawing/2014/chart" uri="{C3380CC4-5D6E-409C-BE32-E72D297353CC}">
              <c16:uniqueId val="{0000000B-5D35-4313-9582-41B20A55D564}"/>
            </c:ext>
          </c:extLst>
        </c:ser>
        <c:ser>
          <c:idx val="1"/>
          <c:order val="1"/>
          <c:tx>
            <c:strRef>
              <c:f>'Loan Status By Risk Profile'!$C$5:$C$6</c:f>
              <c:strCache>
                <c:ptCount val="1"/>
                <c:pt idx="0">
                  <c:v>Default</c:v>
                </c:pt>
              </c:strCache>
            </c:strRef>
          </c:tx>
          <c:spPr>
            <a:solidFill>
              <a:schemeClr val="accent2"/>
            </a:solidFill>
            <a:ln>
              <a:noFill/>
            </a:ln>
            <a:effectLst/>
          </c:spPr>
          <c:invertIfNegative val="0"/>
          <c:cat>
            <c:strRef>
              <c:f>'Loan Status By Risk Profile'!$A$7:$A$10</c:f>
              <c:strCache>
                <c:ptCount val="3"/>
                <c:pt idx="0">
                  <c:v>High Risk</c:v>
                </c:pt>
                <c:pt idx="1">
                  <c:v>Low Risk</c:v>
                </c:pt>
                <c:pt idx="2">
                  <c:v>Medium Risk</c:v>
                </c:pt>
              </c:strCache>
            </c:strRef>
          </c:cat>
          <c:val>
            <c:numRef>
              <c:f>'Loan Status By Risk Profile'!$C$7:$C$10</c:f>
              <c:numCache>
                <c:formatCode>General</c:formatCode>
                <c:ptCount val="3"/>
                <c:pt idx="0">
                  <c:v>10</c:v>
                </c:pt>
                <c:pt idx="1">
                  <c:v>8</c:v>
                </c:pt>
                <c:pt idx="2">
                  <c:v>13</c:v>
                </c:pt>
              </c:numCache>
            </c:numRef>
          </c:val>
          <c:extLst>
            <c:ext xmlns:c16="http://schemas.microsoft.com/office/drawing/2014/chart" uri="{C3380CC4-5D6E-409C-BE32-E72D297353CC}">
              <c16:uniqueId val="{00000018-5D35-4313-9582-41B20A55D564}"/>
            </c:ext>
          </c:extLst>
        </c:ser>
        <c:ser>
          <c:idx val="2"/>
          <c:order val="2"/>
          <c:tx>
            <c:strRef>
              <c:f>'Loan Status By Risk Profile'!$D$5:$D$6</c:f>
              <c:strCache>
                <c:ptCount val="1"/>
                <c:pt idx="0">
                  <c:v>Fully Paid</c:v>
                </c:pt>
              </c:strCache>
            </c:strRef>
          </c:tx>
          <c:spPr>
            <a:solidFill>
              <a:schemeClr val="accent3"/>
            </a:solidFill>
            <a:ln>
              <a:noFill/>
            </a:ln>
            <a:effectLst/>
          </c:spPr>
          <c:invertIfNegative val="0"/>
          <c:cat>
            <c:strRef>
              <c:f>'Loan Status By Risk Profile'!$A$7:$A$10</c:f>
              <c:strCache>
                <c:ptCount val="3"/>
                <c:pt idx="0">
                  <c:v>High Risk</c:v>
                </c:pt>
                <c:pt idx="1">
                  <c:v>Low Risk</c:v>
                </c:pt>
                <c:pt idx="2">
                  <c:v>Medium Risk</c:v>
                </c:pt>
              </c:strCache>
            </c:strRef>
          </c:cat>
          <c:val>
            <c:numRef>
              <c:f>'Loan Status By Risk Profile'!$D$7:$D$10</c:f>
              <c:numCache>
                <c:formatCode>General</c:formatCode>
                <c:ptCount val="3"/>
                <c:pt idx="0">
                  <c:v>208751</c:v>
                </c:pt>
                <c:pt idx="1">
                  <c:v>423292</c:v>
                </c:pt>
                <c:pt idx="2">
                  <c:v>409909</c:v>
                </c:pt>
              </c:numCache>
            </c:numRef>
          </c:val>
          <c:extLst>
            <c:ext xmlns:c16="http://schemas.microsoft.com/office/drawing/2014/chart" uri="{C3380CC4-5D6E-409C-BE32-E72D297353CC}">
              <c16:uniqueId val="{00000021-5D35-4313-9582-41B20A55D564}"/>
            </c:ext>
          </c:extLst>
        </c:ser>
        <c:dLbls>
          <c:showLegendKey val="0"/>
          <c:showVal val="0"/>
          <c:showCatName val="0"/>
          <c:showSerName val="0"/>
          <c:showPercent val="0"/>
          <c:showBubbleSize val="0"/>
        </c:dLbls>
        <c:gapWidth val="219"/>
        <c:overlap val="-27"/>
        <c:axId val="1181464720"/>
        <c:axId val="1181465200"/>
      </c:barChart>
      <c:catAx>
        <c:axId val="118146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181465200"/>
        <c:crosses val="autoZero"/>
        <c:auto val="1"/>
        <c:lblAlgn val="ctr"/>
        <c:lblOffset val="100"/>
        <c:noMultiLvlLbl val="0"/>
      </c:catAx>
      <c:valAx>
        <c:axId val="1181465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vert="horz"/>
          <a:lstStyle/>
          <a:p>
            <a:pPr>
              <a:defRPr/>
            </a:pPr>
            <a:endParaRPr lang="en-US"/>
          </a:p>
        </c:txPr>
        <c:crossAx val="1181464720"/>
        <c:crosses val="autoZero"/>
        <c:crossBetween val="between"/>
      </c:valAx>
    </c:plotArea>
    <c:legend>
      <c:legendPos val="r"/>
      <c:overlay val="0"/>
      <c:spPr>
        <a:noFill/>
        <a:ln>
          <a:noFill/>
        </a:ln>
        <a:effectLst/>
      </c:spPr>
      <c:txPr>
        <a:bodyPr rot="0" vert="horz"/>
        <a:lstStyle/>
        <a:p>
          <a:pPr>
            <a:defRPr/>
          </a:pPr>
          <a:endParaRPr lang="en-US"/>
        </a:p>
      </c:txPr>
    </c:legend>
    <c:plotVisOnly val="1"/>
    <c:dispBlanksAs val="gap"/>
    <c:showDLblsOverMax val="0"/>
    <c:extLst/>
  </c:chart>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solidFill>
                <a:latin typeface="+mn-lt"/>
                <a:ea typeface="+mn-ea"/>
                <a:cs typeface="+mn-cs"/>
              </a:defRPr>
            </a:pPr>
            <a:r>
              <a:rPr lang="en-US" sz="1300" b="1">
                <a:solidFill>
                  <a:schemeClr val="tx1"/>
                </a:solidFill>
              </a:rPr>
              <a:t>TOTAL LOAN AMOUNT BY PURPOSE</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cat>
            <c:strLit>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strLit>
          </c:cat>
          <c:val>
            <c:numLit>
              <c:formatCode>General</c:formatCode>
              <c:ptCount val="14"/>
              <c:pt idx="0">
                <c:v>11532783950</c:v>
              </c:pt>
              <c:pt idx="1">
                <c:v>4231167125</c:v>
              </c:pt>
              <c:pt idx="2">
                <c:v>1195837550</c:v>
              </c:pt>
              <c:pt idx="3">
                <c:v>736339250</c:v>
              </c:pt>
              <c:pt idx="4">
                <c:v>335252200</c:v>
              </c:pt>
              <c:pt idx="5">
                <c:v>234310425</c:v>
              </c:pt>
              <c:pt idx="6">
                <c:v>135208175</c:v>
              </c:pt>
              <c:pt idx="7">
                <c:v>124796525</c:v>
              </c:pt>
              <c:pt idx="8">
                <c:v>107039850</c:v>
              </c:pt>
              <c:pt idx="9">
                <c:v>72018275</c:v>
              </c:pt>
              <c:pt idx="10">
                <c:v>54080775</c:v>
              </c:pt>
              <c:pt idx="11">
                <c:v>24167650</c:v>
              </c:pt>
              <c:pt idx="12">
                <c:v>9120725</c:v>
              </c:pt>
              <c:pt idx="13">
                <c:v>2215600</c:v>
              </c:pt>
            </c:numLit>
          </c:val>
          <c:extLst>
            <c:ext xmlns:c16="http://schemas.microsoft.com/office/drawing/2014/chart" uri="{C3380CC4-5D6E-409C-BE32-E72D297353CC}">
              <c16:uniqueId val="{00000000-7C51-4451-B5B0-8114F7480391}"/>
            </c:ext>
          </c:extLst>
        </c:ser>
        <c:dLbls>
          <c:showLegendKey val="0"/>
          <c:showVal val="0"/>
          <c:showCatName val="0"/>
          <c:showSerName val="0"/>
          <c:showPercent val="0"/>
          <c:showBubbleSize val="0"/>
        </c:dLbls>
        <c:gapWidth val="219"/>
        <c:axId val="1543903456"/>
        <c:axId val="1543887136"/>
      </c:barChart>
      <c:catAx>
        <c:axId val="154390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43887136"/>
        <c:crosses val="autoZero"/>
        <c:auto val="1"/>
        <c:lblAlgn val="ctr"/>
        <c:lblOffset val="100"/>
        <c:noMultiLvlLbl val="0"/>
      </c:catAx>
      <c:valAx>
        <c:axId val="1543887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43903456"/>
        <c:crosses val="autoZero"/>
        <c:crossBetween val="between"/>
        <c:dispUnits>
          <c:builtInUnit val="billions"/>
          <c:dispUnitsLbl>
            <c:layout>
              <c:manualLayout>
                <c:xMode val="edge"/>
                <c:yMode val="edge"/>
                <c:x val="0.90176845671169703"/>
                <c:y val="0.88955577491816518"/>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alpha val="94000"/>
                  </a:schemeClr>
                </a:solidFill>
                <a:latin typeface="+mn-lt"/>
                <a:ea typeface="+mn-ea"/>
                <a:cs typeface="+mn-cs"/>
              </a:defRPr>
            </a:pPr>
            <a:r>
              <a:rPr lang="en-US" sz="1300" b="1" i="0" u="none" strike="noStrike" baseline="0">
                <a:solidFill>
                  <a:schemeClr val="tx1">
                    <a:alpha val="94000"/>
                  </a:schemeClr>
                </a:solidFill>
              </a:rPr>
              <a:t>DEFAULT VOLUME BY LOAN PURPOSE</a:t>
            </a:r>
            <a:endParaRPr lang="en-US" sz="1300" b="1">
              <a:solidFill>
                <a:schemeClr val="tx1">
                  <a:alpha val="94000"/>
                </a:schemeClr>
              </a:solidFill>
            </a:endParaRPr>
          </a:p>
        </c:rich>
      </c:tx>
      <c:overlay val="0"/>
      <c:spPr>
        <a:noFill/>
        <a:ln>
          <a:solidFill>
            <a:schemeClr val="accent1">
              <a:alpha val="0"/>
            </a:schemeClr>
          </a:solidFill>
        </a:ln>
        <a:effectLst/>
      </c:spPr>
      <c:txPr>
        <a:bodyPr rot="0" spcFirstLastPara="1" vertOverflow="ellipsis" vert="horz" wrap="square" anchor="ctr" anchorCtr="1"/>
        <a:lstStyle/>
        <a:p>
          <a:pPr>
            <a:defRPr sz="1300" b="0" i="0" u="none" strike="noStrike" kern="1200" spc="0" baseline="0">
              <a:solidFill>
                <a:schemeClr val="tx1">
                  <a:alpha val="94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Charged Off</c:v>
          </c:tx>
          <c:spPr>
            <a:solidFill>
              <a:schemeClr val="accent1"/>
            </a:solidFill>
            <a:ln>
              <a:noFill/>
            </a:ln>
            <a:effectLst/>
          </c:spPr>
          <c:invertIfNegative val="0"/>
          <c:cat>
            <c:strLit>
              <c:ptCount val="14"/>
              <c:pt idx="0">
                <c:v>Debt Consolidation</c:v>
              </c:pt>
              <c:pt idx="1">
                <c:v>Credit Card</c:v>
              </c:pt>
              <c:pt idx="2">
                <c:v>Other</c:v>
              </c:pt>
              <c:pt idx="3">
                <c:v>Home Improvement</c:v>
              </c:pt>
              <c:pt idx="4">
                <c:v>Major Purchase </c:v>
              </c:pt>
              <c:pt idx="5">
                <c:v>Small Business</c:v>
              </c:pt>
              <c:pt idx="6">
                <c:v>Medical</c:v>
              </c:pt>
              <c:pt idx="7">
                <c:v>Moving</c:v>
              </c:pt>
              <c:pt idx="8">
                <c:v>Car</c:v>
              </c:pt>
              <c:pt idx="9">
                <c:v>Vacation</c:v>
              </c:pt>
              <c:pt idx="10">
                <c:v>House</c:v>
              </c:pt>
              <c:pt idx="11">
                <c:v>Wedding</c:v>
              </c:pt>
              <c:pt idx="12">
                <c:v>Renewable Energy </c:v>
              </c:pt>
              <c:pt idx="13">
                <c:v>Educational</c:v>
              </c:pt>
            </c:strLit>
          </c:cat>
          <c:val>
            <c:numLit>
              <c:formatCode>General</c:formatCode>
              <c:ptCount val="14"/>
              <c:pt idx="0">
                <c:v>161039</c:v>
              </c:pt>
              <c:pt idx="1">
                <c:v>48646</c:v>
              </c:pt>
              <c:pt idx="2">
                <c:v>15864</c:v>
              </c:pt>
              <c:pt idx="3">
                <c:v>15085</c:v>
              </c:pt>
              <c:pt idx="4">
                <c:v>5304</c:v>
              </c:pt>
              <c:pt idx="5">
                <c:v>4465</c:v>
              </c:pt>
              <c:pt idx="6">
                <c:v>3291</c:v>
              </c:pt>
              <c:pt idx="7">
                <c:v>2150</c:v>
              </c:pt>
              <c:pt idx="8">
                <c:v>2067</c:v>
              </c:pt>
              <c:pt idx="9">
                <c:v>1680</c:v>
              </c:pt>
              <c:pt idx="10">
                <c:v>1513</c:v>
              </c:pt>
              <c:pt idx="11">
                <c:v>279</c:v>
              </c:pt>
              <c:pt idx="12">
                <c:v>216</c:v>
              </c:pt>
              <c:pt idx="13">
                <c:v>56</c:v>
              </c:pt>
            </c:numLit>
          </c:val>
          <c:extLst>
            <c:ext xmlns:c16="http://schemas.microsoft.com/office/drawing/2014/chart" uri="{C3380CC4-5D6E-409C-BE32-E72D297353CC}">
              <c16:uniqueId val="{00000000-F2B7-4AFA-B9DC-6DA9AEFDCF21}"/>
            </c:ext>
          </c:extLst>
        </c:ser>
        <c:ser>
          <c:idx val="1"/>
          <c:order val="1"/>
          <c:tx>
            <c:v>Default</c:v>
          </c:tx>
          <c:spPr>
            <a:solidFill>
              <a:schemeClr val="accent2"/>
            </a:solidFill>
            <a:ln>
              <a:noFill/>
            </a:ln>
            <a:effectLst/>
          </c:spPr>
          <c:invertIfNegative val="0"/>
          <c:cat>
            <c:strLit>
              <c:ptCount val="14"/>
              <c:pt idx="0">
                <c:v>Debt Consolidation</c:v>
              </c:pt>
              <c:pt idx="1">
                <c:v>Credit Card</c:v>
              </c:pt>
              <c:pt idx="2">
                <c:v>Other</c:v>
              </c:pt>
              <c:pt idx="3">
                <c:v>Home Improvement</c:v>
              </c:pt>
              <c:pt idx="4">
                <c:v>Major Purchase </c:v>
              </c:pt>
              <c:pt idx="5">
                <c:v>Small Business</c:v>
              </c:pt>
              <c:pt idx="6">
                <c:v>Medical</c:v>
              </c:pt>
              <c:pt idx="7">
                <c:v>Moving</c:v>
              </c:pt>
              <c:pt idx="8">
                <c:v>Car</c:v>
              </c:pt>
              <c:pt idx="9">
                <c:v>Vacation</c:v>
              </c:pt>
              <c:pt idx="10">
                <c:v>House</c:v>
              </c:pt>
              <c:pt idx="11">
                <c:v>Wedding</c:v>
              </c:pt>
              <c:pt idx="12">
                <c:v>Renewable Energy </c:v>
              </c:pt>
              <c:pt idx="13">
                <c:v>Educational</c:v>
              </c:pt>
            </c:strLit>
          </c:cat>
          <c:val>
            <c:numLit>
              <c:formatCode>General</c:formatCode>
              <c:ptCount val="14"/>
              <c:pt idx="0">
                <c:v>19</c:v>
              </c:pt>
              <c:pt idx="1">
                <c:v>4</c:v>
              </c:pt>
              <c:pt idx="2">
                <c:v>3</c:v>
              </c:pt>
              <c:pt idx="3">
                <c:v>2</c:v>
              </c:pt>
              <c:pt idx="4">
                <c:v>0</c:v>
              </c:pt>
              <c:pt idx="5">
                <c:v>0</c:v>
              </c:pt>
              <c:pt idx="6">
                <c:v>1</c:v>
              </c:pt>
              <c:pt idx="7">
                <c:v>1</c:v>
              </c:pt>
              <c:pt idx="8">
                <c:v>1</c:v>
              </c:pt>
              <c:pt idx="9">
                <c:v>0</c:v>
              </c:pt>
              <c:pt idx="10">
                <c:v>0</c:v>
              </c:pt>
              <c:pt idx="11">
                <c:v>0</c:v>
              </c:pt>
              <c:pt idx="12">
                <c:v>0</c:v>
              </c:pt>
              <c:pt idx="13">
                <c:v>0</c:v>
              </c:pt>
            </c:numLit>
          </c:val>
          <c:extLst>
            <c:ext xmlns:c16="http://schemas.microsoft.com/office/drawing/2014/chart" uri="{C3380CC4-5D6E-409C-BE32-E72D297353CC}">
              <c16:uniqueId val="{00000001-F2B7-4AFA-B9DC-6DA9AEFDCF21}"/>
            </c:ext>
          </c:extLst>
        </c:ser>
        <c:dLbls>
          <c:showLegendKey val="0"/>
          <c:showVal val="0"/>
          <c:showCatName val="0"/>
          <c:showSerName val="0"/>
          <c:showPercent val="0"/>
          <c:showBubbleSize val="0"/>
        </c:dLbls>
        <c:gapWidth val="182"/>
        <c:axId val="1533034096"/>
        <c:axId val="1533034576"/>
      </c:barChart>
      <c:catAx>
        <c:axId val="153303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33034576"/>
        <c:crosses val="autoZero"/>
        <c:auto val="1"/>
        <c:lblAlgn val="ctr"/>
        <c:lblOffset val="100"/>
        <c:noMultiLvlLbl val="0"/>
      </c:catAx>
      <c:valAx>
        <c:axId val="1533034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3303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LENDING RISK &amp; PERFORMANCE.xlsx]Loan Status By Risk Profile!PivotTable1</c:name>
    <c:fmtId val="12"/>
  </c:pivotSource>
  <c:chart>
    <c:title>
      <c:tx>
        <c:rich>
          <a:bodyPr/>
          <a:lstStyle/>
          <a:p>
            <a:pPr>
              <a:defRPr/>
            </a:pPr>
            <a:r>
              <a:rPr lang="en-US"/>
              <a:t>LOAN STATUS BY RISK PROFILE</a:t>
            </a:r>
          </a:p>
        </c:rich>
      </c:tx>
      <c:overlay val="0"/>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effectLst/>
        </c:spP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3"/>
        <c:spPr>
          <a:solidFill>
            <a:schemeClr val="accent3"/>
          </a:solidFill>
          <a:effectLst/>
        </c:spPr>
        <c:marker>
          <c:symbol val="none"/>
        </c:marker>
        <c:dLbl>
          <c:idx val="0"/>
          <c:delete val="1"/>
          <c:extLst>
            <c:ext xmlns:c15="http://schemas.microsoft.com/office/drawing/2012/chart" uri="{CE6537A1-D6FC-4f65-9D91-7224C49458BB}"/>
          </c:extLst>
        </c:dLbl>
      </c:pivotFmt>
      <c:pivotFmt>
        <c:idx val="24"/>
        <c:marker>
          <c:symbol val="none"/>
        </c:marker>
        <c:dLbl>
          <c:idx val="0"/>
          <c:delete val="1"/>
          <c:extLst>
            <c:ext xmlns:c15="http://schemas.microsoft.com/office/drawing/2012/chart" uri="{CE6537A1-D6FC-4f65-9D91-7224C49458BB}"/>
          </c:extLst>
        </c:dLbl>
      </c:pivotFmt>
      <c:pivotFmt>
        <c:idx val="25"/>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'Loan Status By Risk Profile'!$B$5:$B$6</c:f>
              <c:strCache>
                <c:ptCount val="1"/>
                <c:pt idx="0">
                  <c:v>Charged Off</c:v>
                </c:pt>
              </c:strCache>
            </c:strRef>
          </c:tx>
          <c:spPr>
            <a:solidFill>
              <a:schemeClr val="accent1"/>
            </a:solidFill>
            <a:ln>
              <a:noFill/>
            </a:ln>
            <a:effectLst/>
          </c:spPr>
          <c:invertIfNegative val="0"/>
          <c:cat>
            <c:strRef>
              <c:f>'Loan Status By Risk Profile'!$A$7:$A$10</c:f>
              <c:strCache>
                <c:ptCount val="3"/>
                <c:pt idx="0">
                  <c:v>High Risk</c:v>
                </c:pt>
                <c:pt idx="1">
                  <c:v>Low Risk</c:v>
                </c:pt>
                <c:pt idx="2">
                  <c:v>Medium Risk</c:v>
                </c:pt>
              </c:strCache>
            </c:strRef>
          </c:cat>
          <c:val>
            <c:numRef>
              <c:f>'Loan Status By Risk Profile'!$B$7:$B$10</c:f>
              <c:numCache>
                <c:formatCode>General</c:formatCode>
                <c:ptCount val="3"/>
                <c:pt idx="0">
                  <c:v>77188</c:v>
                </c:pt>
                <c:pt idx="1">
                  <c:v>79499</c:v>
                </c:pt>
                <c:pt idx="2">
                  <c:v>104968</c:v>
                </c:pt>
              </c:numCache>
            </c:numRef>
          </c:val>
          <c:extLst>
            <c:ext xmlns:c16="http://schemas.microsoft.com/office/drawing/2014/chart" uri="{C3380CC4-5D6E-409C-BE32-E72D297353CC}">
              <c16:uniqueId val="{00000000-7976-48AD-84C3-1D42D595ADDA}"/>
            </c:ext>
          </c:extLst>
        </c:ser>
        <c:ser>
          <c:idx val="2"/>
          <c:order val="2"/>
          <c:tx>
            <c:strRef>
              <c:f>'Loan Status By Risk Profile'!$D$5:$D$6</c:f>
              <c:strCache>
                <c:ptCount val="1"/>
                <c:pt idx="0">
                  <c:v>Fully Paid</c:v>
                </c:pt>
              </c:strCache>
            </c:strRef>
          </c:tx>
          <c:spPr>
            <a:solidFill>
              <a:schemeClr val="accent3"/>
            </a:solidFill>
            <a:effectLst/>
          </c:spPr>
          <c:invertIfNegative val="0"/>
          <c:cat>
            <c:strRef>
              <c:f>'Loan Status By Risk Profile'!$A$7:$A$10</c:f>
              <c:strCache>
                <c:ptCount val="3"/>
                <c:pt idx="0">
                  <c:v>High Risk</c:v>
                </c:pt>
                <c:pt idx="1">
                  <c:v>Low Risk</c:v>
                </c:pt>
                <c:pt idx="2">
                  <c:v>Medium Risk</c:v>
                </c:pt>
              </c:strCache>
            </c:strRef>
          </c:cat>
          <c:val>
            <c:numRef>
              <c:f>'Loan Status By Risk Profile'!$D$7:$D$10</c:f>
              <c:numCache>
                <c:formatCode>General</c:formatCode>
                <c:ptCount val="3"/>
                <c:pt idx="0">
                  <c:v>208751</c:v>
                </c:pt>
                <c:pt idx="1">
                  <c:v>423292</c:v>
                </c:pt>
                <c:pt idx="2">
                  <c:v>409909</c:v>
                </c:pt>
              </c:numCache>
            </c:numRef>
          </c:val>
          <c:extLst>
            <c:ext xmlns:c16="http://schemas.microsoft.com/office/drawing/2014/chart" uri="{C3380CC4-5D6E-409C-BE32-E72D297353CC}">
              <c16:uniqueId val="{0000000F-7976-48AD-84C3-1D42D595ADDA}"/>
            </c:ext>
          </c:extLst>
        </c:ser>
        <c:dLbls>
          <c:showLegendKey val="0"/>
          <c:showVal val="0"/>
          <c:showCatName val="0"/>
          <c:showSerName val="0"/>
          <c:showPercent val="0"/>
          <c:showBubbleSize val="0"/>
        </c:dLbls>
        <c:gapWidth val="219"/>
        <c:axId val="1181464720"/>
        <c:axId val="1181465200"/>
      </c:barChart>
      <c:lineChart>
        <c:grouping val="standard"/>
        <c:varyColors val="0"/>
        <c:ser>
          <c:idx val="1"/>
          <c:order val="1"/>
          <c:tx>
            <c:strRef>
              <c:f>'Loan Status By Risk Profile'!$C$5:$C$6</c:f>
              <c:strCache>
                <c:ptCount val="1"/>
                <c:pt idx="0">
                  <c:v>Default</c:v>
                </c:pt>
              </c:strCache>
            </c:strRef>
          </c:tx>
          <c:spPr>
            <a:effectLst/>
          </c:spPr>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'Loan Status By Risk Profile'!$A$7:$A$10</c:f>
              <c:strCache>
                <c:ptCount val="3"/>
                <c:pt idx="0">
                  <c:v>High Risk</c:v>
                </c:pt>
                <c:pt idx="1">
                  <c:v>Low Risk</c:v>
                </c:pt>
                <c:pt idx="2">
                  <c:v>Medium Risk</c:v>
                </c:pt>
              </c:strCache>
            </c:strRef>
          </c:cat>
          <c:val>
            <c:numRef>
              <c:f>'Loan Status By Risk Profile'!$C$7:$C$10</c:f>
              <c:numCache>
                <c:formatCode>General</c:formatCode>
                <c:ptCount val="3"/>
                <c:pt idx="0">
                  <c:v>10</c:v>
                </c:pt>
                <c:pt idx="1">
                  <c:v>8</c:v>
                </c:pt>
                <c:pt idx="2">
                  <c:v>13</c:v>
                </c:pt>
              </c:numCache>
            </c:numRef>
          </c:val>
          <c:smooth val="0"/>
          <c:extLst>
            <c:ext xmlns:c16="http://schemas.microsoft.com/office/drawing/2014/chart" uri="{C3380CC4-5D6E-409C-BE32-E72D297353CC}">
              <c16:uniqueId val="{00000006-7976-48AD-84C3-1D42D595ADDA}"/>
            </c:ext>
          </c:extLst>
        </c:ser>
        <c:dLbls>
          <c:showLegendKey val="0"/>
          <c:showVal val="0"/>
          <c:showCatName val="0"/>
          <c:showSerName val="0"/>
          <c:showPercent val="0"/>
          <c:showBubbleSize val="0"/>
        </c:dLbls>
        <c:marker val="1"/>
        <c:smooth val="0"/>
        <c:axId val="1181464720"/>
        <c:axId val="1181465200"/>
      </c:lineChart>
      <c:catAx>
        <c:axId val="118146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181465200"/>
        <c:crosses val="autoZero"/>
        <c:auto val="1"/>
        <c:lblAlgn val="ctr"/>
        <c:lblOffset val="100"/>
        <c:noMultiLvlLbl val="0"/>
      </c:catAx>
      <c:valAx>
        <c:axId val="1181465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vert="horz"/>
          <a:lstStyle/>
          <a:p>
            <a:pPr>
              <a:defRPr/>
            </a:pPr>
            <a:endParaRPr lang="en-US"/>
          </a:p>
        </c:txPr>
        <c:crossAx val="1181464720"/>
        <c:crosses val="autoZero"/>
        <c:crossBetween val="between"/>
      </c:valAx>
    </c:plotArea>
    <c:legend>
      <c:legendPos val="r"/>
      <c:overlay val="0"/>
      <c:spPr>
        <a:noFill/>
        <a:ln>
          <a:noFill/>
        </a:ln>
        <a:effectLst/>
      </c:spPr>
      <c:txPr>
        <a:bodyPr rot="0" vert="horz"/>
        <a:lstStyle/>
        <a:p>
          <a:pPr>
            <a:defRPr/>
          </a:pPr>
          <a:endParaRPr lang="en-US"/>
        </a:p>
      </c:txPr>
    </c:legend>
    <c:plotVisOnly val="1"/>
    <c:dispBlanksAs val="gap"/>
    <c:showDLblsOverMax val="0"/>
    <c:extLst/>
  </c:chart>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b="1">
                <a:solidFill>
                  <a:schemeClr val="tx1"/>
                </a:solidFill>
              </a:rPr>
              <a:t>TOTAL LOAN AMOUNT BY PURPOSE</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cat>
            <c:strLit>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strLit>
          </c:cat>
          <c:val>
            <c:numLit>
              <c:formatCode>General</c:formatCode>
              <c:ptCount val="14"/>
              <c:pt idx="0">
                <c:v>11532783950</c:v>
              </c:pt>
              <c:pt idx="1">
                <c:v>4231167125</c:v>
              </c:pt>
              <c:pt idx="2">
                <c:v>1195837550</c:v>
              </c:pt>
              <c:pt idx="3">
                <c:v>736339250</c:v>
              </c:pt>
              <c:pt idx="4">
                <c:v>335252200</c:v>
              </c:pt>
              <c:pt idx="5">
                <c:v>234310425</c:v>
              </c:pt>
              <c:pt idx="6">
                <c:v>135208175</c:v>
              </c:pt>
              <c:pt idx="7">
                <c:v>124796525</c:v>
              </c:pt>
              <c:pt idx="8">
                <c:v>107039850</c:v>
              </c:pt>
              <c:pt idx="9">
                <c:v>72018275</c:v>
              </c:pt>
              <c:pt idx="10">
                <c:v>54080775</c:v>
              </c:pt>
              <c:pt idx="11">
                <c:v>24167650</c:v>
              </c:pt>
              <c:pt idx="12">
                <c:v>9120725</c:v>
              </c:pt>
              <c:pt idx="13">
                <c:v>2215600</c:v>
              </c:pt>
            </c:numLit>
          </c:val>
          <c:extLst>
            <c:ext xmlns:c16="http://schemas.microsoft.com/office/drawing/2014/chart" uri="{C3380CC4-5D6E-409C-BE32-E72D297353CC}">
              <c16:uniqueId val="{00000000-B05A-46A4-8B7D-00E31E0BB55B}"/>
            </c:ext>
          </c:extLst>
        </c:ser>
        <c:dLbls>
          <c:showLegendKey val="0"/>
          <c:showVal val="0"/>
          <c:showCatName val="0"/>
          <c:showSerName val="0"/>
          <c:showPercent val="0"/>
          <c:showBubbleSize val="0"/>
        </c:dLbls>
        <c:gapWidth val="219"/>
        <c:axId val="1543903456"/>
        <c:axId val="1543887136"/>
      </c:barChart>
      <c:catAx>
        <c:axId val="154390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43887136"/>
        <c:crosses val="autoZero"/>
        <c:auto val="1"/>
        <c:lblAlgn val="ctr"/>
        <c:lblOffset val="100"/>
        <c:noMultiLvlLbl val="0"/>
      </c:catAx>
      <c:valAx>
        <c:axId val="1543887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43903456"/>
        <c:crosses val="autoZero"/>
        <c:crossBetween val="between"/>
        <c:dispUnits>
          <c:builtInUnit val="billions"/>
          <c:dispUnitsLbl>
            <c:layout>
              <c:manualLayout>
                <c:xMode val="edge"/>
                <c:yMode val="edge"/>
                <c:x val="0.89865483318405615"/>
                <c:y val="0.87520114942528737"/>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solidFill>
                <a:latin typeface="+mn-lt"/>
                <a:ea typeface="+mn-ea"/>
                <a:cs typeface="+mn-cs"/>
              </a:defRPr>
            </a:pPr>
            <a:r>
              <a:rPr lang="en-US" b="1">
                <a:solidFill>
                  <a:schemeClr val="tx1"/>
                </a:solidFill>
              </a:rPr>
              <a:t>DEFAULT VOLUME BY LOAN PURPOSE</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Charged Off</c:v>
          </c:tx>
          <c:spPr>
            <a:solidFill>
              <a:schemeClr val="accent1"/>
            </a:solidFill>
            <a:ln>
              <a:noFill/>
            </a:ln>
            <a:effectLst/>
          </c:spPr>
          <c:invertIfNegative val="0"/>
          <c:cat>
            <c:strLit>
              <c:ptCount val="14"/>
              <c:pt idx="0">
                <c:v>Debt Consolidation</c:v>
              </c:pt>
              <c:pt idx="1">
                <c:v>Credit Card</c:v>
              </c:pt>
              <c:pt idx="2">
                <c:v>Other</c:v>
              </c:pt>
              <c:pt idx="3">
                <c:v>Home Improvement</c:v>
              </c:pt>
              <c:pt idx="4">
                <c:v>Major Purchase </c:v>
              </c:pt>
              <c:pt idx="5">
                <c:v>Small Business</c:v>
              </c:pt>
              <c:pt idx="6">
                <c:v>Medical</c:v>
              </c:pt>
              <c:pt idx="7">
                <c:v>Moving</c:v>
              </c:pt>
              <c:pt idx="8">
                <c:v>Car</c:v>
              </c:pt>
              <c:pt idx="9">
                <c:v>Vacation</c:v>
              </c:pt>
              <c:pt idx="10">
                <c:v>House</c:v>
              </c:pt>
              <c:pt idx="11">
                <c:v>Wedding</c:v>
              </c:pt>
              <c:pt idx="12">
                <c:v>Renewable Energy </c:v>
              </c:pt>
              <c:pt idx="13">
                <c:v>Educational</c:v>
              </c:pt>
            </c:strLit>
          </c:cat>
          <c:val>
            <c:numLit>
              <c:formatCode>General</c:formatCode>
              <c:ptCount val="14"/>
              <c:pt idx="0">
                <c:v>161039</c:v>
              </c:pt>
              <c:pt idx="1">
                <c:v>48646</c:v>
              </c:pt>
              <c:pt idx="2">
                <c:v>15864</c:v>
              </c:pt>
              <c:pt idx="3">
                <c:v>15085</c:v>
              </c:pt>
              <c:pt idx="4">
                <c:v>5304</c:v>
              </c:pt>
              <c:pt idx="5">
                <c:v>4465</c:v>
              </c:pt>
              <c:pt idx="6">
                <c:v>3291</c:v>
              </c:pt>
              <c:pt idx="7">
                <c:v>2150</c:v>
              </c:pt>
              <c:pt idx="8">
                <c:v>2067</c:v>
              </c:pt>
              <c:pt idx="9">
                <c:v>1680</c:v>
              </c:pt>
              <c:pt idx="10">
                <c:v>1513</c:v>
              </c:pt>
              <c:pt idx="11">
                <c:v>279</c:v>
              </c:pt>
              <c:pt idx="12">
                <c:v>216</c:v>
              </c:pt>
              <c:pt idx="13">
                <c:v>56</c:v>
              </c:pt>
            </c:numLit>
          </c:val>
          <c:extLst>
            <c:ext xmlns:c16="http://schemas.microsoft.com/office/drawing/2014/chart" uri="{C3380CC4-5D6E-409C-BE32-E72D297353CC}">
              <c16:uniqueId val="{00000000-8FF7-4794-AAA3-48781F0EBF5E}"/>
            </c:ext>
          </c:extLst>
        </c:ser>
        <c:ser>
          <c:idx val="1"/>
          <c:order val="1"/>
          <c:tx>
            <c:v>Default</c:v>
          </c:tx>
          <c:spPr>
            <a:solidFill>
              <a:schemeClr val="accent2"/>
            </a:solidFill>
            <a:ln>
              <a:noFill/>
            </a:ln>
            <a:effectLst/>
          </c:spPr>
          <c:invertIfNegative val="0"/>
          <c:cat>
            <c:strLit>
              <c:ptCount val="14"/>
              <c:pt idx="0">
                <c:v>Debt Consolidation</c:v>
              </c:pt>
              <c:pt idx="1">
                <c:v>Credit Card</c:v>
              </c:pt>
              <c:pt idx="2">
                <c:v>Other</c:v>
              </c:pt>
              <c:pt idx="3">
                <c:v>Home Improvement</c:v>
              </c:pt>
              <c:pt idx="4">
                <c:v>Major Purchase </c:v>
              </c:pt>
              <c:pt idx="5">
                <c:v>Small Business</c:v>
              </c:pt>
              <c:pt idx="6">
                <c:v>Medical</c:v>
              </c:pt>
              <c:pt idx="7">
                <c:v>Moving</c:v>
              </c:pt>
              <c:pt idx="8">
                <c:v>Car</c:v>
              </c:pt>
              <c:pt idx="9">
                <c:v>Vacation</c:v>
              </c:pt>
              <c:pt idx="10">
                <c:v>House</c:v>
              </c:pt>
              <c:pt idx="11">
                <c:v>Wedding</c:v>
              </c:pt>
              <c:pt idx="12">
                <c:v>Renewable Energy </c:v>
              </c:pt>
              <c:pt idx="13">
                <c:v>Educational</c:v>
              </c:pt>
            </c:strLit>
          </c:cat>
          <c:val>
            <c:numLit>
              <c:formatCode>General</c:formatCode>
              <c:ptCount val="14"/>
              <c:pt idx="0">
                <c:v>19</c:v>
              </c:pt>
              <c:pt idx="1">
                <c:v>4</c:v>
              </c:pt>
              <c:pt idx="2">
                <c:v>3</c:v>
              </c:pt>
              <c:pt idx="3">
                <c:v>2</c:v>
              </c:pt>
              <c:pt idx="4">
                <c:v>0</c:v>
              </c:pt>
              <c:pt idx="5">
                <c:v>0</c:v>
              </c:pt>
              <c:pt idx="6">
                <c:v>1</c:v>
              </c:pt>
              <c:pt idx="7">
                <c:v>1</c:v>
              </c:pt>
              <c:pt idx="8">
                <c:v>1</c:v>
              </c:pt>
              <c:pt idx="9">
                <c:v>0</c:v>
              </c:pt>
              <c:pt idx="10">
                <c:v>0</c:v>
              </c:pt>
              <c:pt idx="11">
                <c:v>0</c:v>
              </c:pt>
              <c:pt idx="12">
                <c:v>0</c:v>
              </c:pt>
              <c:pt idx="13">
                <c:v>0</c:v>
              </c:pt>
            </c:numLit>
          </c:val>
          <c:extLst>
            <c:ext xmlns:c16="http://schemas.microsoft.com/office/drawing/2014/chart" uri="{C3380CC4-5D6E-409C-BE32-E72D297353CC}">
              <c16:uniqueId val="{00000004-8FF7-4794-AAA3-48781F0EBF5E}"/>
            </c:ext>
          </c:extLst>
        </c:ser>
        <c:dLbls>
          <c:showLegendKey val="0"/>
          <c:showVal val="0"/>
          <c:showCatName val="0"/>
          <c:showSerName val="0"/>
          <c:showPercent val="0"/>
          <c:showBubbleSize val="0"/>
        </c:dLbls>
        <c:gapWidth val="182"/>
        <c:axId val="1533034096"/>
        <c:axId val="1533034576"/>
      </c:barChart>
      <c:catAx>
        <c:axId val="153303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33034576"/>
        <c:crosses val="autoZero"/>
        <c:auto val="1"/>
        <c:lblAlgn val="ctr"/>
        <c:lblOffset val="100"/>
        <c:noMultiLvlLbl val="0"/>
      </c:catAx>
      <c:valAx>
        <c:axId val="1533034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3303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272475</xdr:colOff>
      <xdr:row>11</xdr:row>
      <xdr:rowOff>12700</xdr:rowOff>
    </xdr:from>
    <xdr:to>
      <xdr:col>7</xdr:col>
      <xdr:colOff>266700</xdr:colOff>
      <xdr:row>37</xdr:row>
      <xdr:rowOff>146050</xdr:rowOff>
    </xdr:to>
    <xdr:graphicFrame macro="">
      <xdr:nvGraphicFramePr>
        <xdr:cNvPr id="2" name="Chart 1">
          <a:extLst>
            <a:ext uri="{FF2B5EF4-FFF2-40B4-BE49-F238E27FC236}">
              <a16:creationId xmlns:a16="http://schemas.microsoft.com/office/drawing/2014/main" id="{479FF7A5-CC30-8B26-A1AE-BEC8314B8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22</xdr:row>
      <xdr:rowOff>0</xdr:rowOff>
    </xdr:from>
    <xdr:to>
      <xdr:col>10</xdr:col>
      <xdr:colOff>555997</xdr:colOff>
      <xdr:row>49</xdr:row>
      <xdr:rowOff>92117</xdr:rowOff>
    </xdr:to>
    <xdr:graphicFrame macro="">
      <xdr:nvGraphicFramePr>
        <xdr:cNvPr id="2" name="Chart 1">
          <a:extLst>
            <a:ext uri="{FF2B5EF4-FFF2-40B4-BE49-F238E27FC236}">
              <a16:creationId xmlns:a16="http://schemas.microsoft.com/office/drawing/2014/main" id="{BBE55CBC-9603-4EB6-B3F0-0BC48D61C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23</xdr:row>
      <xdr:rowOff>0</xdr:rowOff>
    </xdr:from>
    <xdr:to>
      <xdr:col>6</xdr:col>
      <xdr:colOff>340591</xdr:colOff>
      <xdr:row>47</xdr:row>
      <xdr:rowOff>49647</xdr:rowOff>
    </xdr:to>
    <xdr:graphicFrame macro="">
      <xdr:nvGraphicFramePr>
        <xdr:cNvPr id="2" name="Chart 1">
          <a:extLst>
            <a:ext uri="{FF2B5EF4-FFF2-40B4-BE49-F238E27FC236}">
              <a16:creationId xmlns:a16="http://schemas.microsoft.com/office/drawing/2014/main" id="{C9F18411-C3F0-4DD2-A88E-8FDD3ACD0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14772</xdr:colOff>
      <xdr:row>10</xdr:row>
      <xdr:rowOff>5197</xdr:rowOff>
    </xdr:from>
    <xdr:to>
      <xdr:col>23</xdr:col>
      <xdr:colOff>1130986</xdr:colOff>
      <xdr:row>34</xdr:row>
      <xdr:rowOff>5197</xdr:rowOff>
    </xdr:to>
    <xdr:graphicFrame macro="">
      <xdr:nvGraphicFramePr>
        <xdr:cNvPr id="2" name="Chart 1">
          <a:extLst>
            <a:ext uri="{FF2B5EF4-FFF2-40B4-BE49-F238E27FC236}">
              <a16:creationId xmlns:a16="http://schemas.microsoft.com/office/drawing/2014/main" id="{227341C1-E3E3-476D-B060-09B51906A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161023</xdr:colOff>
      <xdr:row>35</xdr:row>
      <xdr:rowOff>163331</xdr:rowOff>
    </xdr:from>
    <xdr:to>
      <xdr:col>26</xdr:col>
      <xdr:colOff>18783</xdr:colOff>
      <xdr:row>62</xdr:row>
      <xdr:rowOff>67735</xdr:rowOff>
    </xdr:to>
    <xdr:graphicFrame macro="">
      <xdr:nvGraphicFramePr>
        <xdr:cNvPr id="3" name="Chart 2">
          <a:extLst>
            <a:ext uri="{FF2B5EF4-FFF2-40B4-BE49-F238E27FC236}">
              <a16:creationId xmlns:a16="http://schemas.microsoft.com/office/drawing/2014/main" id="{6839FE36-3AD4-4969-A318-CCFEAD6F5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256714</xdr:colOff>
      <xdr:row>35</xdr:row>
      <xdr:rowOff>154573</xdr:rowOff>
    </xdr:from>
    <xdr:to>
      <xdr:col>17</xdr:col>
      <xdr:colOff>56747</xdr:colOff>
      <xdr:row>62</xdr:row>
      <xdr:rowOff>58977</xdr:rowOff>
    </xdr:to>
    <xdr:graphicFrame macro="">
      <xdr:nvGraphicFramePr>
        <xdr:cNvPr id="4" name="Chart 3">
          <a:extLst>
            <a:ext uri="{FF2B5EF4-FFF2-40B4-BE49-F238E27FC236}">
              <a16:creationId xmlns:a16="http://schemas.microsoft.com/office/drawing/2014/main" id="{BFAF1A5A-26BA-4C25-9E50-DA04A9AF5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439345</xdr:colOff>
      <xdr:row>27</xdr:row>
      <xdr:rowOff>58554</xdr:rowOff>
    </xdr:from>
    <xdr:to>
      <xdr:col>11</xdr:col>
      <xdr:colOff>129466</xdr:colOff>
      <xdr:row>34</xdr:row>
      <xdr:rowOff>1239</xdr:rowOff>
    </xdr:to>
    <mc:AlternateContent xmlns:mc="http://schemas.openxmlformats.org/markup-compatibility/2006" xmlns:a14="http://schemas.microsoft.com/office/drawing/2010/main">
      <mc:Choice Requires="a14">
        <xdr:graphicFrame macro="">
          <xdr:nvGraphicFramePr>
            <xdr:cNvPr id="5" name="profil_risiko">
              <a:extLst>
                <a:ext uri="{FF2B5EF4-FFF2-40B4-BE49-F238E27FC236}">
                  <a16:creationId xmlns:a16="http://schemas.microsoft.com/office/drawing/2014/main" id="{E9693378-4572-202E-94CC-5C3CF6F1BC20}"/>
                </a:ext>
              </a:extLst>
            </xdr:cNvPr>
            <xdr:cNvGraphicFramePr/>
          </xdr:nvGraphicFramePr>
          <xdr:xfrm>
            <a:off x="0" y="0"/>
            <a:ext cx="0" cy="0"/>
          </xdr:xfrm>
          <a:graphic>
            <a:graphicData uri="http://schemas.microsoft.com/office/drawing/2010/slicer">
              <sle:slicer xmlns:sle="http://schemas.microsoft.com/office/drawing/2010/slicer" name="profil_risiko"/>
            </a:graphicData>
          </a:graphic>
        </xdr:graphicFrame>
      </mc:Choice>
      <mc:Fallback xmlns="">
        <xdr:sp macro="" textlink="">
          <xdr:nvSpPr>
            <xdr:cNvPr id="0" name=""/>
            <xdr:cNvSpPr>
              <a:spLocks noTextEdit="1"/>
            </xdr:cNvSpPr>
          </xdr:nvSpPr>
          <xdr:spPr>
            <a:xfrm>
              <a:off x="4455720" y="5646554"/>
              <a:ext cx="2103121" cy="12761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441037</xdr:colOff>
      <xdr:row>10</xdr:row>
      <xdr:rowOff>864</xdr:rowOff>
    </xdr:from>
    <xdr:to>
      <xdr:col>11</xdr:col>
      <xdr:colOff>131158</xdr:colOff>
      <xdr:row>23</xdr:row>
      <xdr:rowOff>129887</xdr:rowOff>
    </xdr:to>
    <mc:AlternateContent xmlns:mc="http://schemas.openxmlformats.org/markup-compatibility/2006" xmlns:a14="http://schemas.microsoft.com/office/drawing/2010/main">
      <mc:Choice Requires="a14">
        <xdr:graphicFrame macro="">
          <xdr:nvGraphicFramePr>
            <xdr:cNvPr id="6" name="status_pinjaman">
              <a:extLst>
                <a:ext uri="{FF2B5EF4-FFF2-40B4-BE49-F238E27FC236}">
                  <a16:creationId xmlns:a16="http://schemas.microsoft.com/office/drawing/2014/main" id="{52CB70DD-CBAD-7A17-6536-21601BECD24D}"/>
                </a:ext>
              </a:extLst>
            </xdr:cNvPr>
            <xdr:cNvGraphicFramePr/>
          </xdr:nvGraphicFramePr>
          <xdr:xfrm>
            <a:off x="0" y="0"/>
            <a:ext cx="0" cy="0"/>
          </xdr:xfrm>
          <a:graphic>
            <a:graphicData uri="http://schemas.microsoft.com/office/drawing/2010/slicer">
              <sle:slicer xmlns:sle="http://schemas.microsoft.com/office/drawing/2010/slicer" name="status_pinjaman"/>
            </a:graphicData>
          </a:graphic>
        </xdr:graphicFrame>
      </mc:Choice>
      <mc:Fallback xmlns="">
        <xdr:sp macro="" textlink="">
          <xdr:nvSpPr>
            <xdr:cNvPr id="0" name=""/>
            <xdr:cNvSpPr>
              <a:spLocks noTextEdit="1"/>
            </xdr:cNvSpPr>
          </xdr:nvSpPr>
          <xdr:spPr>
            <a:xfrm>
              <a:off x="4457412" y="1905864"/>
              <a:ext cx="2103121" cy="30500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anaa" refreshedDate="46135.447715277776" createdVersion="8" refreshedVersion="8" minRefreshableVersion="3" recordCount="311" xr:uid="{DC74991F-FBAE-4EC5-A11B-1CC9DF555040}">
  <cacheSource type="worksheet">
    <worksheetSource ref="A5:E316" sheet="Data"/>
  </cacheSource>
  <cacheFields count="5">
    <cacheField name="tujuan_pinjaman" numFmtId="0">
      <sharedItems count="17">
        <s v="Car"/>
        <s v="credit_Card"/>
        <s v="debt_consolidation"/>
        <s v="Educational"/>
        <s v="home_improvement"/>
        <s v="House"/>
        <s v="Major Purchase "/>
        <s v="Medical"/>
        <s v="Moving"/>
        <s v="Other"/>
        <s v="Renewable Energy"/>
        <s v="Small Business"/>
        <s v="Vacation"/>
        <s v="Wedding"/>
        <s v="major_purchase" u="1"/>
        <s v="renewable_energy" u="1"/>
        <s v="small_business" u="1"/>
      </sharedItems>
    </cacheField>
    <cacheField name="profil_risiko" numFmtId="0">
      <sharedItems count="3">
        <s v="High Risk"/>
        <s v="Low Risk"/>
        <s v="Medium Risk"/>
      </sharedItems>
    </cacheField>
    <cacheField name="status_pinjaman" numFmtId="0">
      <sharedItems count="9">
        <s v="Charged Off"/>
        <s v="Current"/>
        <s v="Default"/>
        <s v="Fully Paid"/>
        <s v="In Grace Period"/>
        <s v="Late (16-30 days)"/>
        <s v="Late (31-120 days)"/>
        <s v="Does not meet the credit policy. Status:Charged Off"/>
        <s v="Does not meet the credit policy. Status:Fully Paid"/>
      </sharedItems>
    </cacheField>
    <cacheField name="total_peminjam" numFmtId="0">
      <sharedItems containsSemiMixedTypes="0" containsString="0" containsNumber="1" containsInteger="1" minValue="1" maxValue="244382"/>
    </cacheField>
    <cacheField name="total_nominal_pinjaman" numFmtId="0">
      <sharedItems containsSemiMixedTypes="0" containsString="0" containsNumber="1" containsInteger="1" minValue="1000" maxValue="3756117200"/>
    </cacheField>
  </cacheFields>
  <extLst>
    <ext xmlns:x14="http://schemas.microsoft.com/office/spreadsheetml/2009/9/main" uri="{725AE2AE-9491-48be-B2B4-4EB974FC3084}">
      <x14:pivotCacheDefinition pivotCacheId="18985972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x v="0"/>
    <x v="0"/>
    <x v="0"/>
    <n v="424"/>
    <n v="4233250"/>
  </r>
  <r>
    <x v="0"/>
    <x v="0"/>
    <x v="1"/>
    <n v="1747"/>
    <n v="17172025"/>
  </r>
  <r>
    <x v="0"/>
    <x v="0"/>
    <x v="2"/>
    <n v="1"/>
    <n v="12800"/>
  </r>
  <r>
    <x v="0"/>
    <x v="0"/>
    <x v="3"/>
    <n v="1500"/>
    <n v="12577175"/>
  </r>
  <r>
    <x v="0"/>
    <x v="0"/>
    <x v="4"/>
    <n v="22"/>
    <n v="252750"/>
  </r>
  <r>
    <x v="0"/>
    <x v="0"/>
    <x v="5"/>
    <n v="8"/>
    <n v="110950"/>
  </r>
  <r>
    <x v="0"/>
    <x v="0"/>
    <x v="6"/>
    <n v="47"/>
    <n v="454325"/>
  </r>
  <r>
    <x v="0"/>
    <x v="1"/>
    <x v="0"/>
    <n v="930"/>
    <n v="10013225"/>
  </r>
  <r>
    <x v="0"/>
    <x v="1"/>
    <x v="1"/>
    <n v="4751"/>
    <n v="49294150"/>
  </r>
  <r>
    <x v="0"/>
    <x v="1"/>
    <x v="7"/>
    <n v="8"/>
    <n v="56400"/>
  </r>
  <r>
    <x v="0"/>
    <x v="1"/>
    <x v="8"/>
    <n v="40"/>
    <n v="215150"/>
  </r>
  <r>
    <x v="0"/>
    <x v="1"/>
    <x v="3"/>
    <n v="6822"/>
    <n v="59097600"/>
  </r>
  <r>
    <x v="0"/>
    <x v="1"/>
    <x v="4"/>
    <n v="31"/>
    <n v="289000"/>
  </r>
  <r>
    <x v="0"/>
    <x v="1"/>
    <x v="5"/>
    <n v="18"/>
    <n v="200600"/>
  </r>
  <r>
    <x v="0"/>
    <x v="1"/>
    <x v="6"/>
    <n v="97"/>
    <n v="1377150"/>
  </r>
  <r>
    <x v="0"/>
    <x v="2"/>
    <x v="0"/>
    <n v="713"/>
    <n v="7366775"/>
  </r>
  <r>
    <x v="0"/>
    <x v="2"/>
    <x v="1"/>
    <n v="3004"/>
    <n v="30051975"/>
  </r>
  <r>
    <x v="0"/>
    <x v="2"/>
    <x v="7"/>
    <n v="5"/>
    <n v="54900"/>
  </r>
  <r>
    <x v="0"/>
    <x v="2"/>
    <x v="8"/>
    <n v="11"/>
    <n v="82700"/>
  </r>
  <r>
    <x v="0"/>
    <x v="2"/>
    <x v="3"/>
    <n v="3731"/>
    <n v="31495700"/>
  </r>
  <r>
    <x v="0"/>
    <x v="2"/>
    <x v="4"/>
    <n v="29"/>
    <n v="357500"/>
  </r>
  <r>
    <x v="0"/>
    <x v="2"/>
    <x v="5"/>
    <n v="9"/>
    <n v="111100"/>
  </r>
  <r>
    <x v="0"/>
    <x v="2"/>
    <x v="6"/>
    <n v="65"/>
    <n v="694200"/>
  </r>
  <r>
    <x v="1"/>
    <x v="0"/>
    <x v="0"/>
    <n v="14835"/>
    <n v="235516900"/>
  </r>
  <r>
    <x v="1"/>
    <x v="0"/>
    <x v="1"/>
    <n v="57210"/>
    <n v="964269475"/>
  </r>
  <r>
    <x v="1"/>
    <x v="0"/>
    <x v="7"/>
    <n v="1"/>
    <n v="7500"/>
  </r>
  <r>
    <x v="1"/>
    <x v="0"/>
    <x v="8"/>
    <n v="20"/>
    <n v="142325"/>
  </r>
  <r>
    <x v="1"/>
    <x v="0"/>
    <x v="3"/>
    <n v="48000"/>
    <n v="713394200"/>
  </r>
  <r>
    <x v="1"/>
    <x v="0"/>
    <x v="4"/>
    <n v="479"/>
    <n v="8727650"/>
  </r>
  <r>
    <x v="1"/>
    <x v="0"/>
    <x v="5"/>
    <n v="184"/>
    <n v="3112400"/>
  </r>
  <r>
    <x v="1"/>
    <x v="0"/>
    <x v="6"/>
    <n v="1200"/>
    <n v="19884450"/>
  </r>
  <r>
    <x v="1"/>
    <x v="1"/>
    <x v="0"/>
    <n v="13896"/>
    <n v="210052550"/>
  </r>
  <r>
    <x v="1"/>
    <x v="1"/>
    <x v="1"/>
    <n v="79945"/>
    <n v="1190753050"/>
  </r>
  <r>
    <x v="1"/>
    <x v="1"/>
    <x v="2"/>
    <n v="1"/>
    <n v="24000"/>
  </r>
  <r>
    <x v="1"/>
    <x v="1"/>
    <x v="7"/>
    <n v="35"/>
    <n v="368500"/>
  </r>
  <r>
    <x v="1"/>
    <x v="1"/>
    <x v="8"/>
    <n v="116"/>
    <n v="1034050"/>
  </r>
  <r>
    <x v="1"/>
    <x v="1"/>
    <x v="3"/>
    <n v="93515"/>
    <n v="1309905775"/>
  </r>
  <r>
    <x v="1"/>
    <x v="1"/>
    <x v="4"/>
    <n v="537"/>
    <n v="8779200"/>
  </r>
  <r>
    <x v="1"/>
    <x v="1"/>
    <x v="5"/>
    <n v="259"/>
    <n v="3859550"/>
  </r>
  <r>
    <x v="1"/>
    <x v="1"/>
    <x v="6"/>
    <n v="1295"/>
    <n v="19935900"/>
  </r>
  <r>
    <x v="1"/>
    <x v="2"/>
    <x v="0"/>
    <n v="19915"/>
    <n v="317345075"/>
  </r>
  <r>
    <x v="1"/>
    <x v="2"/>
    <x v="1"/>
    <n v="87251"/>
    <n v="1423491875"/>
  </r>
  <r>
    <x v="1"/>
    <x v="2"/>
    <x v="2"/>
    <n v="3"/>
    <n v="36500"/>
  </r>
  <r>
    <x v="1"/>
    <x v="2"/>
    <x v="7"/>
    <n v="33"/>
    <n v="362700"/>
  </r>
  <r>
    <x v="1"/>
    <x v="2"/>
    <x v="8"/>
    <n v="135"/>
    <n v="1405850"/>
  </r>
  <r>
    <x v="1"/>
    <x v="2"/>
    <x v="3"/>
    <n v="95543"/>
    <n v="1444892125"/>
  </r>
  <r>
    <x v="1"/>
    <x v="2"/>
    <x v="4"/>
    <n v="712"/>
    <n v="12204150"/>
  </r>
  <r>
    <x v="1"/>
    <x v="2"/>
    <x v="5"/>
    <n v="258"/>
    <n v="4454625"/>
  </r>
  <r>
    <x v="1"/>
    <x v="2"/>
    <x v="6"/>
    <n v="1593"/>
    <n v="25895950"/>
  </r>
  <r>
    <x v="2"/>
    <x v="0"/>
    <x v="0"/>
    <n v="50562"/>
    <n v="817143525"/>
  </r>
  <r>
    <x v="2"/>
    <x v="0"/>
    <x v="1"/>
    <n v="135638"/>
    <n v="2387351725"/>
  </r>
  <r>
    <x v="2"/>
    <x v="0"/>
    <x v="2"/>
    <n v="8"/>
    <n v="137000"/>
  </r>
  <r>
    <x v="2"/>
    <x v="0"/>
    <x v="7"/>
    <n v="18"/>
    <n v="171525"/>
  </r>
  <r>
    <x v="2"/>
    <x v="0"/>
    <x v="8"/>
    <n v="57"/>
    <n v="496350"/>
  </r>
  <r>
    <x v="2"/>
    <x v="0"/>
    <x v="3"/>
    <n v="128526"/>
    <n v="1928118025"/>
  </r>
  <r>
    <x v="2"/>
    <x v="0"/>
    <x v="4"/>
    <n v="1628"/>
    <n v="30798850"/>
  </r>
  <r>
    <x v="2"/>
    <x v="0"/>
    <x v="5"/>
    <n v="659"/>
    <n v="11679625"/>
  </r>
  <r>
    <x v="2"/>
    <x v="0"/>
    <x v="6"/>
    <n v="3802"/>
    <n v="67555525"/>
  </r>
  <r>
    <x v="2"/>
    <x v="1"/>
    <x v="0"/>
    <n v="44107"/>
    <n v="699993000"/>
  </r>
  <r>
    <x v="2"/>
    <x v="1"/>
    <x v="1"/>
    <n v="169520"/>
    <n v="2760868900"/>
  </r>
  <r>
    <x v="2"/>
    <x v="1"/>
    <x v="2"/>
    <n v="4"/>
    <n v="75150"/>
  </r>
  <r>
    <x v="2"/>
    <x v="1"/>
    <x v="7"/>
    <n v="133"/>
    <n v="1281650"/>
  </r>
  <r>
    <x v="2"/>
    <x v="1"/>
    <x v="8"/>
    <n v="353"/>
    <n v="3355250"/>
  </r>
  <r>
    <x v="2"/>
    <x v="1"/>
    <x v="3"/>
    <n v="223644"/>
    <n v="3238139775"/>
  </r>
  <r>
    <x v="2"/>
    <x v="1"/>
    <x v="4"/>
    <n v="1744"/>
    <n v="31209700"/>
  </r>
  <r>
    <x v="2"/>
    <x v="1"/>
    <x v="5"/>
    <n v="661"/>
    <n v="11715175"/>
  </r>
  <r>
    <x v="2"/>
    <x v="1"/>
    <x v="6"/>
    <n v="4027"/>
    <n v="69032950"/>
  </r>
  <r>
    <x v="2"/>
    <x v="2"/>
    <x v="0"/>
    <n v="66370"/>
    <n v="1092934925"/>
  </r>
  <r>
    <x v="2"/>
    <x v="2"/>
    <x v="1"/>
    <n v="193851"/>
    <n v="3351801525"/>
  </r>
  <r>
    <x v="2"/>
    <x v="2"/>
    <x v="2"/>
    <n v="7"/>
    <n v="125350"/>
  </r>
  <r>
    <x v="2"/>
    <x v="2"/>
    <x v="7"/>
    <n v="141"/>
    <n v="1390650"/>
  </r>
  <r>
    <x v="2"/>
    <x v="2"/>
    <x v="8"/>
    <n v="398"/>
    <n v="4354600"/>
  </r>
  <r>
    <x v="2"/>
    <x v="2"/>
    <x v="3"/>
    <n v="244382"/>
    <n v="3756117200"/>
  </r>
  <r>
    <x v="2"/>
    <x v="2"/>
    <x v="4"/>
    <n v="1972"/>
    <n v="36899700"/>
  </r>
  <r>
    <x v="2"/>
    <x v="2"/>
    <x v="5"/>
    <n v="859"/>
    <n v="15506925"/>
  </r>
  <r>
    <x v="2"/>
    <x v="2"/>
    <x v="6"/>
    <n v="4806"/>
    <n v="85218950"/>
  </r>
  <r>
    <x v="3"/>
    <x v="0"/>
    <x v="7"/>
    <n v="1"/>
    <n v="3575"/>
  </r>
  <r>
    <x v="3"/>
    <x v="0"/>
    <x v="8"/>
    <n v="2"/>
    <n v="6000"/>
  </r>
  <r>
    <x v="3"/>
    <x v="0"/>
    <x v="3"/>
    <n v="1"/>
    <n v="3000"/>
  </r>
  <r>
    <x v="3"/>
    <x v="1"/>
    <x v="0"/>
    <n v="37"/>
    <n v="301850"/>
  </r>
  <r>
    <x v="3"/>
    <x v="1"/>
    <x v="7"/>
    <n v="16"/>
    <n v="93275"/>
  </r>
  <r>
    <x v="3"/>
    <x v="1"/>
    <x v="8"/>
    <n v="46"/>
    <n v="252550"/>
  </r>
  <r>
    <x v="3"/>
    <x v="1"/>
    <x v="3"/>
    <n v="190"/>
    <n v="1256650"/>
  </r>
  <r>
    <x v="3"/>
    <x v="2"/>
    <x v="0"/>
    <n v="19"/>
    <n v="138250"/>
  </r>
  <r>
    <x v="3"/>
    <x v="2"/>
    <x v="1"/>
    <n v="1"/>
    <n v="6000"/>
  </r>
  <r>
    <x v="3"/>
    <x v="2"/>
    <x v="7"/>
    <n v="15"/>
    <n v="108775"/>
  </r>
  <r>
    <x v="3"/>
    <x v="2"/>
    <x v="8"/>
    <n v="17"/>
    <n v="118825"/>
  </r>
  <r>
    <x v="3"/>
    <x v="2"/>
    <x v="3"/>
    <n v="79"/>
    <n v="515850"/>
  </r>
  <r>
    <x v="4"/>
    <x v="0"/>
    <x v="0"/>
    <n v="3376"/>
    <n v="48636075"/>
  </r>
  <r>
    <x v="4"/>
    <x v="0"/>
    <x v="1"/>
    <n v="14136"/>
    <n v="197327025"/>
  </r>
  <r>
    <x v="4"/>
    <x v="0"/>
    <x v="7"/>
    <n v="4"/>
    <n v="17400"/>
  </r>
  <r>
    <x v="4"/>
    <x v="0"/>
    <x v="8"/>
    <n v="3"/>
    <n v="21250"/>
  </r>
  <r>
    <x v="4"/>
    <x v="0"/>
    <x v="3"/>
    <n v="10420"/>
    <n v="123524700"/>
  </r>
  <r>
    <x v="4"/>
    <x v="0"/>
    <x v="4"/>
    <n v="139"/>
    <n v="2364050"/>
  </r>
  <r>
    <x v="4"/>
    <x v="0"/>
    <x v="5"/>
    <n v="55"/>
    <n v="961125"/>
  </r>
  <r>
    <x v="4"/>
    <x v="0"/>
    <x v="6"/>
    <n v="343"/>
    <n v="4982600"/>
  </r>
  <r>
    <x v="4"/>
    <x v="1"/>
    <x v="0"/>
    <n v="6254"/>
    <n v="109122075"/>
  </r>
  <r>
    <x v="4"/>
    <x v="1"/>
    <x v="1"/>
    <n v="27644"/>
    <n v="455629075"/>
  </r>
  <r>
    <x v="4"/>
    <x v="1"/>
    <x v="2"/>
    <n v="1"/>
    <n v="24000"/>
  </r>
  <r>
    <x v="4"/>
    <x v="1"/>
    <x v="7"/>
    <n v="39"/>
    <n v="389500"/>
  </r>
  <r>
    <x v="4"/>
    <x v="1"/>
    <x v="8"/>
    <n v="79"/>
    <n v="713575"/>
  </r>
  <r>
    <x v="4"/>
    <x v="1"/>
    <x v="3"/>
    <n v="35905"/>
    <n v="529850600"/>
  </r>
  <r>
    <x v="4"/>
    <x v="1"/>
    <x v="4"/>
    <n v="280"/>
    <n v="5701500"/>
  </r>
  <r>
    <x v="4"/>
    <x v="1"/>
    <x v="5"/>
    <n v="108"/>
    <n v="2115425"/>
  </r>
  <r>
    <x v="4"/>
    <x v="1"/>
    <x v="6"/>
    <n v="612"/>
    <n v="11875275"/>
  </r>
  <r>
    <x v="4"/>
    <x v="2"/>
    <x v="0"/>
    <n v="5455"/>
    <n v="83423225"/>
  </r>
  <r>
    <x v="4"/>
    <x v="2"/>
    <x v="1"/>
    <n v="21655"/>
    <n v="314942200"/>
  </r>
  <r>
    <x v="4"/>
    <x v="2"/>
    <x v="2"/>
    <n v="1"/>
    <n v="21000"/>
  </r>
  <r>
    <x v="4"/>
    <x v="2"/>
    <x v="7"/>
    <n v="28"/>
    <n v="268150"/>
  </r>
  <r>
    <x v="4"/>
    <x v="2"/>
    <x v="8"/>
    <n v="61"/>
    <n v="553650"/>
  </r>
  <r>
    <x v="4"/>
    <x v="2"/>
    <x v="3"/>
    <n v="23085"/>
    <n v="301235875"/>
  </r>
  <r>
    <x v="4"/>
    <x v="2"/>
    <x v="4"/>
    <n v="193"/>
    <n v="3431000"/>
  </r>
  <r>
    <x v="4"/>
    <x v="2"/>
    <x v="5"/>
    <n v="87"/>
    <n v="1524100"/>
  </r>
  <r>
    <x v="4"/>
    <x v="2"/>
    <x v="6"/>
    <n v="494"/>
    <n v="7970175"/>
  </r>
  <r>
    <x v="5"/>
    <x v="0"/>
    <x v="0"/>
    <n v="295"/>
    <n v="4225650"/>
  </r>
  <r>
    <x v="5"/>
    <x v="0"/>
    <x v="1"/>
    <n v="1022"/>
    <n v="14960600"/>
  </r>
  <r>
    <x v="5"/>
    <x v="0"/>
    <x v="8"/>
    <n v="1"/>
    <n v="2400"/>
  </r>
  <r>
    <x v="5"/>
    <x v="0"/>
    <x v="3"/>
    <n v="641"/>
    <n v="8170900"/>
  </r>
  <r>
    <x v="5"/>
    <x v="0"/>
    <x v="4"/>
    <n v="8"/>
    <n v="167800"/>
  </r>
  <r>
    <x v="5"/>
    <x v="0"/>
    <x v="5"/>
    <n v="7"/>
    <n v="122800"/>
  </r>
  <r>
    <x v="5"/>
    <x v="0"/>
    <x v="6"/>
    <n v="31"/>
    <n v="488600"/>
  </r>
  <r>
    <x v="5"/>
    <x v="1"/>
    <x v="0"/>
    <n v="700"/>
    <n v="11792025"/>
  </r>
  <r>
    <x v="5"/>
    <x v="1"/>
    <x v="1"/>
    <n v="3801"/>
    <n v="63907650"/>
  </r>
  <r>
    <x v="5"/>
    <x v="1"/>
    <x v="7"/>
    <n v="9"/>
    <n v="77825"/>
  </r>
  <r>
    <x v="5"/>
    <x v="1"/>
    <x v="8"/>
    <n v="22"/>
    <n v="191825"/>
  </r>
  <r>
    <x v="5"/>
    <x v="1"/>
    <x v="3"/>
    <n v="3193"/>
    <n v="52424525"/>
  </r>
  <r>
    <x v="5"/>
    <x v="1"/>
    <x v="4"/>
    <n v="36"/>
    <n v="736775"/>
  </r>
  <r>
    <x v="5"/>
    <x v="1"/>
    <x v="5"/>
    <n v="17"/>
    <n v="355700"/>
  </r>
  <r>
    <x v="5"/>
    <x v="1"/>
    <x v="6"/>
    <n v="123"/>
    <n v="2393550"/>
  </r>
  <r>
    <x v="5"/>
    <x v="2"/>
    <x v="0"/>
    <n v="518"/>
    <n v="8131275"/>
  </r>
  <r>
    <x v="5"/>
    <x v="2"/>
    <x v="1"/>
    <n v="1997"/>
    <n v="29965025"/>
  </r>
  <r>
    <x v="5"/>
    <x v="2"/>
    <x v="7"/>
    <n v="2"/>
    <n v="10100"/>
  </r>
  <r>
    <x v="5"/>
    <x v="2"/>
    <x v="8"/>
    <n v="10"/>
    <n v="63425"/>
  </r>
  <r>
    <x v="5"/>
    <x v="2"/>
    <x v="3"/>
    <n v="1620"/>
    <n v="22295475"/>
  </r>
  <r>
    <x v="5"/>
    <x v="2"/>
    <x v="4"/>
    <n v="15"/>
    <n v="285050"/>
  </r>
  <r>
    <x v="5"/>
    <x v="2"/>
    <x v="5"/>
    <n v="11"/>
    <n v="252375"/>
  </r>
  <r>
    <x v="5"/>
    <x v="2"/>
    <x v="6"/>
    <n v="57"/>
    <n v="969225"/>
  </r>
  <r>
    <x v="6"/>
    <x v="0"/>
    <x v="0"/>
    <n v="1020"/>
    <n v="13047650"/>
  </r>
  <r>
    <x v="6"/>
    <x v="0"/>
    <x v="1"/>
    <n v="3851"/>
    <n v="46423950"/>
  </r>
  <r>
    <x v="6"/>
    <x v="0"/>
    <x v="8"/>
    <n v="1"/>
    <n v="3500"/>
  </r>
  <r>
    <x v="6"/>
    <x v="0"/>
    <x v="3"/>
    <n v="2942"/>
    <n v="28153150"/>
  </r>
  <r>
    <x v="6"/>
    <x v="0"/>
    <x v="4"/>
    <n v="38"/>
    <n v="626675"/>
  </r>
  <r>
    <x v="6"/>
    <x v="0"/>
    <x v="5"/>
    <n v="12"/>
    <n v="226050"/>
  </r>
  <r>
    <x v="6"/>
    <x v="0"/>
    <x v="6"/>
    <n v="118"/>
    <n v="1797875"/>
  </r>
  <r>
    <x v="6"/>
    <x v="1"/>
    <x v="0"/>
    <n v="2598"/>
    <n v="42600375"/>
  </r>
  <r>
    <x v="6"/>
    <x v="1"/>
    <x v="1"/>
    <n v="10701"/>
    <n v="157248700"/>
  </r>
  <r>
    <x v="6"/>
    <x v="1"/>
    <x v="7"/>
    <n v="11"/>
    <n v="84700"/>
  </r>
  <r>
    <x v="6"/>
    <x v="1"/>
    <x v="8"/>
    <n v="65"/>
    <n v="413325"/>
  </r>
  <r>
    <x v="6"/>
    <x v="1"/>
    <x v="3"/>
    <n v="13117"/>
    <n v="155924025"/>
  </r>
  <r>
    <x v="6"/>
    <x v="1"/>
    <x v="4"/>
    <n v="92"/>
    <n v="1847975"/>
  </r>
  <r>
    <x v="6"/>
    <x v="1"/>
    <x v="5"/>
    <n v="54"/>
    <n v="1123875"/>
  </r>
  <r>
    <x v="6"/>
    <x v="1"/>
    <x v="6"/>
    <n v="299"/>
    <n v="5642125"/>
  </r>
  <r>
    <x v="6"/>
    <x v="2"/>
    <x v="0"/>
    <n v="1686"/>
    <n v="23719500"/>
  </r>
  <r>
    <x v="6"/>
    <x v="2"/>
    <x v="1"/>
    <n v="6578"/>
    <n v="84838525"/>
  </r>
  <r>
    <x v="6"/>
    <x v="2"/>
    <x v="7"/>
    <n v="12"/>
    <n v="106825"/>
  </r>
  <r>
    <x v="6"/>
    <x v="2"/>
    <x v="8"/>
    <n v="34"/>
    <n v="211850"/>
  </r>
  <r>
    <x v="6"/>
    <x v="2"/>
    <x v="3"/>
    <n v="6965"/>
    <n v="71807500"/>
  </r>
  <r>
    <x v="6"/>
    <x v="2"/>
    <x v="4"/>
    <n v="61"/>
    <n v="921850"/>
  </r>
  <r>
    <x v="6"/>
    <x v="2"/>
    <x v="5"/>
    <n v="26"/>
    <n v="452925"/>
  </r>
  <r>
    <x v="6"/>
    <x v="2"/>
    <x v="6"/>
    <n v="164"/>
    <n v="2542275"/>
  </r>
  <r>
    <x v="7"/>
    <x v="0"/>
    <x v="0"/>
    <n v="968"/>
    <n v="8975175"/>
  </r>
  <r>
    <x v="7"/>
    <x v="0"/>
    <x v="1"/>
    <n v="2898"/>
    <n v="26371950"/>
  </r>
  <r>
    <x v="7"/>
    <x v="0"/>
    <x v="7"/>
    <n v="1"/>
    <n v="2000"/>
  </r>
  <r>
    <x v="7"/>
    <x v="0"/>
    <x v="8"/>
    <n v="5"/>
    <n v="38225"/>
  </r>
  <r>
    <x v="7"/>
    <x v="0"/>
    <x v="3"/>
    <n v="2302"/>
    <n v="17231200"/>
  </r>
  <r>
    <x v="7"/>
    <x v="0"/>
    <x v="4"/>
    <n v="24"/>
    <n v="276750"/>
  </r>
  <r>
    <x v="7"/>
    <x v="0"/>
    <x v="5"/>
    <n v="19"/>
    <n v="184250"/>
  </r>
  <r>
    <x v="7"/>
    <x v="0"/>
    <x v="6"/>
    <n v="75"/>
    <n v="771150"/>
  </r>
  <r>
    <x v="7"/>
    <x v="1"/>
    <x v="0"/>
    <n v="1139"/>
    <n v="13050475"/>
  </r>
  <r>
    <x v="7"/>
    <x v="1"/>
    <x v="1"/>
    <n v="4789"/>
    <n v="52051325"/>
  </r>
  <r>
    <x v="7"/>
    <x v="1"/>
    <x v="2"/>
    <n v="1"/>
    <n v="7500"/>
  </r>
  <r>
    <x v="7"/>
    <x v="1"/>
    <x v="7"/>
    <n v="11"/>
    <n v="87125"/>
  </r>
  <r>
    <x v="7"/>
    <x v="1"/>
    <x v="8"/>
    <n v="16"/>
    <n v="86875"/>
  </r>
  <r>
    <x v="7"/>
    <x v="1"/>
    <x v="3"/>
    <n v="5199"/>
    <n v="49173325"/>
  </r>
  <r>
    <x v="7"/>
    <x v="1"/>
    <x v="4"/>
    <n v="39"/>
    <n v="561500"/>
  </r>
  <r>
    <x v="7"/>
    <x v="1"/>
    <x v="5"/>
    <n v="17"/>
    <n v="149325"/>
  </r>
  <r>
    <x v="7"/>
    <x v="1"/>
    <x v="6"/>
    <n v="108"/>
    <n v="1398450"/>
  </r>
  <r>
    <x v="7"/>
    <x v="2"/>
    <x v="0"/>
    <n v="1184"/>
    <n v="11569725"/>
  </r>
  <r>
    <x v="7"/>
    <x v="2"/>
    <x v="1"/>
    <n v="4226"/>
    <n v="40830000"/>
  </r>
  <r>
    <x v="7"/>
    <x v="2"/>
    <x v="7"/>
    <n v="10"/>
    <n v="53300"/>
  </r>
  <r>
    <x v="7"/>
    <x v="2"/>
    <x v="8"/>
    <n v="15"/>
    <n v="92900"/>
  </r>
  <r>
    <x v="7"/>
    <x v="2"/>
    <x v="3"/>
    <n v="4231"/>
    <n v="35200775"/>
  </r>
  <r>
    <x v="7"/>
    <x v="2"/>
    <x v="4"/>
    <n v="58"/>
    <n v="585525"/>
  </r>
  <r>
    <x v="7"/>
    <x v="2"/>
    <x v="5"/>
    <n v="18"/>
    <n v="153625"/>
  </r>
  <r>
    <x v="7"/>
    <x v="2"/>
    <x v="6"/>
    <n v="135"/>
    <n v="1524100"/>
  </r>
  <r>
    <x v="8"/>
    <x v="0"/>
    <x v="0"/>
    <n v="525"/>
    <n v="4577600"/>
  </r>
  <r>
    <x v="8"/>
    <x v="0"/>
    <x v="1"/>
    <n v="1220"/>
    <n v="10470025"/>
  </r>
  <r>
    <x v="8"/>
    <x v="0"/>
    <x v="2"/>
    <n v="1"/>
    <n v="2000"/>
  </r>
  <r>
    <x v="8"/>
    <x v="0"/>
    <x v="8"/>
    <n v="1"/>
    <n v="4000"/>
  </r>
  <r>
    <x v="8"/>
    <x v="0"/>
    <x v="3"/>
    <n v="1112"/>
    <n v="7673425"/>
  </r>
  <r>
    <x v="8"/>
    <x v="0"/>
    <x v="4"/>
    <n v="20"/>
    <n v="207850"/>
  </r>
  <r>
    <x v="8"/>
    <x v="0"/>
    <x v="5"/>
    <n v="3"/>
    <n v="85000"/>
  </r>
  <r>
    <x v="8"/>
    <x v="0"/>
    <x v="6"/>
    <n v="39"/>
    <n v="384825"/>
  </r>
  <r>
    <x v="8"/>
    <x v="1"/>
    <x v="0"/>
    <n v="805"/>
    <n v="7511450"/>
  </r>
  <r>
    <x v="8"/>
    <x v="1"/>
    <x v="1"/>
    <n v="2656"/>
    <n v="25902950"/>
  </r>
  <r>
    <x v="8"/>
    <x v="1"/>
    <x v="7"/>
    <n v="13"/>
    <n v="81825"/>
  </r>
  <r>
    <x v="8"/>
    <x v="1"/>
    <x v="8"/>
    <n v="17"/>
    <n v="106750"/>
  </r>
  <r>
    <x v="8"/>
    <x v="1"/>
    <x v="3"/>
    <n v="3498"/>
    <n v="27803575"/>
  </r>
  <r>
    <x v="8"/>
    <x v="1"/>
    <x v="4"/>
    <n v="31"/>
    <n v="341925"/>
  </r>
  <r>
    <x v="8"/>
    <x v="1"/>
    <x v="5"/>
    <n v="13"/>
    <n v="148750"/>
  </r>
  <r>
    <x v="8"/>
    <x v="1"/>
    <x v="6"/>
    <n v="89"/>
    <n v="905150"/>
  </r>
  <r>
    <x v="8"/>
    <x v="2"/>
    <x v="0"/>
    <n v="820"/>
    <n v="7174625"/>
  </r>
  <r>
    <x v="8"/>
    <x v="2"/>
    <x v="1"/>
    <n v="2023"/>
    <n v="17648675"/>
  </r>
  <r>
    <x v="8"/>
    <x v="2"/>
    <x v="7"/>
    <n v="2"/>
    <n v="10750"/>
  </r>
  <r>
    <x v="8"/>
    <x v="2"/>
    <x v="8"/>
    <n v="13"/>
    <n v="67825"/>
  </r>
  <r>
    <x v="8"/>
    <x v="2"/>
    <x v="3"/>
    <n v="2412"/>
    <n v="17275600"/>
  </r>
  <r>
    <x v="8"/>
    <x v="2"/>
    <x v="4"/>
    <n v="23"/>
    <n v="214700"/>
  </r>
  <r>
    <x v="8"/>
    <x v="2"/>
    <x v="5"/>
    <n v="8"/>
    <n v="56725"/>
  </r>
  <r>
    <x v="8"/>
    <x v="2"/>
    <x v="6"/>
    <n v="59"/>
    <n v="587675"/>
  </r>
  <r>
    <x v="9"/>
    <x v="0"/>
    <x v="0"/>
    <n v="3979"/>
    <n v="42507500"/>
  </r>
  <r>
    <x v="9"/>
    <x v="0"/>
    <x v="1"/>
    <n v="13520"/>
    <n v="139671175"/>
  </r>
  <r>
    <x v="9"/>
    <x v="0"/>
    <x v="7"/>
    <n v="9"/>
    <n v="54600"/>
  </r>
  <r>
    <x v="9"/>
    <x v="0"/>
    <x v="8"/>
    <n v="14"/>
    <n v="59650"/>
  </r>
  <r>
    <x v="9"/>
    <x v="0"/>
    <x v="3"/>
    <n v="10492"/>
    <n v="87840825"/>
  </r>
  <r>
    <x v="9"/>
    <x v="0"/>
    <x v="4"/>
    <n v="143"/>
    <n v="1989925"/>
  </r>
  <r>
    <x v="9"/>
    <x v="0"/>
    <x v="5"/>
    <n v="59"/>
    <n v="528075"/>
  </r>
  <r>
    <x v="9"/>
    <x v="0"/>
    <x v="6"/>
    <n v="404"/>
    <n v="4974475"/>
  </r>
  <r>
    <x v="9"/>
    <x v="1"/>
    <x v="0"/>
    <n v="5951"/>
    <n v="72240275"/>
  </r>
  <r>
    <x v="9"/>
    <x v="1"/>
    <x v="1"/>
    <n v="27360"/>
    <n v="326887725"/>
  </r>
  <r>
    <x v="9"/>
    <x v="1"/>
    <x v="2"/>
    <n v="1"/>
    <n v="1000"/>
  </r>
  <r>
    <x v="9"/>
    <x v="1"/>
    <x v="7"/>
    <n v="63"/>
    <n v="461000"/>
  </r>
  <r>
    <x v="9"/>
    <x v="1"/>
    <x v="8"/>
    <n v="182"/>
    <n v="1140500"/>
  </r>
  <r>
    <x v="9"/>
    <x v="1"/>
    <x v="3"/>
    <n v="27569"/>
    <n v="278330125"/>
  </r>
  <r>
    <x v="9"/>
    <x v="1"/>
    <x v="4"/>
    <n v="254"/>
    <n v="3751575"/>
  </r>
  <r>
    <x v="9"/>
    <x v="1"/>
    <x v="5"/>
    <n v="114"/>
    <n v="1554450"/>
  </r>
  <r>
    <x v="9"/>
    <x v="1"/>
    <x v="6"/>
    <n v="717"/>
    <n v="10804775"/>
  </r>
  <r>
    <x v="9"/>
    <x v="2"/>
    <x v="0"/>
    <n v="5934"/>
    <n v="65909475"/>
  </r>
  <r>
    <x v="9"/>
    <x v="2"/>
    <x v="1"/>
    <n v="20666"/>
    <n v="221287625"/>
  </r>
  <r>
    <x v="9"/>
    <x v="2"/>
    <x v="2"/>
    <n v="2"/>
    <n v="23500"/>
  </r>
  <r>
    <x v="9"/>
    <x v="2"/>
    <x v="7"/>
    <n v="49"/>
    <n v="411375"/>
  </r>
  <r>
    <x v="9"/>
    <x v="2"/>
    <x v="8"/>
    <n v="107"/>
    <n v="716000"/>
  </r>
  <r>
    <x v="9"/>
    <x v="2"/>
    <x v="3"/>
    <n v="21009"/>
    <n v="189486550"/>
  </r>
  <r>
    <x v="9"/>
    <x v="2"/>
    <x v="4"/>
    <n v="180"/>
    <n v="2207325"/>
  </r>
  <r>
    <x v="9"/>
    <x v="2"/>
    <x v="5"/>
    <n v="109"/>
    <n v="1402825"/>
  </r>
  <r>
    <x v="9"/>
    <x v="2"/>
    <x v="6"/>
    <n v="553"/>
    <n v="7241025"/>
  </r>
  <r>
    <x v="10"/>
    <x v="0"/>
    <x v="0"/>
    <n v="40"/>
    <n v="374600"/>
  </r>
  <r>
    <x v="10"/>
    <x v="0"/>
    <x v="1"/>
    <n v="111"/>
    <n v="1213700"/>
  </r>
  <r>
    <x v="10"/>
    <x v="0"/>
    <x v="3"/>
    <n v="110"/>
    <n v="989525"/>
  </r>
  <r>
    <x v="10"/>
    <x v="0"/>
    <x v="4"/>
    <n v="1"/>
    <n v="18000"/>
  </r>
  <r>
    <x v="10"/>
    <x v="0"/>
    <x v="5"/>
    <n v="1"/>
    <n v="20000"/>
  </r>
  <r>
    <x v="10"/>
    <x v="1"/>
    <x v="0"/>
    <n v="95"/>
    <n v="1011700"/>
  </r>
  <r>
    <x v="10"/>
    <x v="1"/>
    <x v="1"/>
    <n v="225"/>
    <n v="3058900"/>
  </r>
  <r>
    <x v="10"/>
    <x v="1"/>
    <x v="8"/>
    <n v="2"/>
    <n v="12000"/>
  </r>
  <r>
    <x v="10"/>
    <x v="1"/>
    <x v="3"/>
    <n v="344"/>
    <n v="3559600"/>
  </r>
  <r>
    <x v="10"/>
    <x v="1"/>
    <x v="6"/>
    <n v="7"/>
    <n v="110900"/>
  </r>
  <r>
    <x v="10"/>
    <x v="2"/>
    <x v="0"/>
    <n v="81"/>
    <n v="953775"/>
  </r>
  <r>
    <x v="10"/>
    <x v="2"/>
    <x v="1"/>
    <n v="175"/>
    <n v="1829125"/>
  </r>
  <r>
    <x v="10"/>
    <x v="2"/>
    <x v="7"/>
    <n v="1"/>
    <n v="5000"/>
  </r>
  <r>
    <x v="10"/>
    <x v="2"/>
    <x v="3"/>
    <n v="241"/>
    <n v="2231525"/>
  </r>
  <r>
    <x v="10"/>
    <x v="2"/>
    <x v="4"/>
    <n v="2"/>
    <n v="7350"/>
  </r>
  <r>
    <x v="10"/>
    <x v="2"/>
    <x v="5"/>
    <n v="1"/>
    <n v="18200"/>
  </r>
  <r>
    <x v="10"/>
    <x v="2"/>
    <x v="6"/>
    <n v="8"/>
    <n v="130000"/>
  </r>
  <r>
    <x v="11"/>
    <x v="0"/>
    <x v="0"/>
    <n v="670"/>
    <n v="10157675"/>
  </r>
  <r>
    <x v="11"/>
    <x v="0"/>
    <x v="1"/>
    <n v="1436"/>
    <n v="22712175"/>
  </r>
  <r>
    <x v="11"/>
    <x v="0"/>
    <x v="7"/>
    <n v="4"/>
    <n v="77725"/>
  </r>
  <r>
    <x v="11"/>
    <x v="0"/>
    <x v="8"/>
    <n v="2"/>
    <n v="49000"/>
  </r>
  <r>
    <x v="11"/>
    <x v="0"/>
    <x v="3"/>
    <n v="1179"/>
    <n v="15364575"/>
  </r>
  <r>
    <x v="11"/>
    <x v="0"/>
    <x v="4"/>
    <n v="16"/>
    <n v="321375"/>
  </r>
  <r>
    <x v="11"/>
    <x v="0"/>
    <x v="5"/>
    <n v="11"/>
    <n v="205750"/>
  </r>
  <r>
    <x v="11"/>
    <x v="0"/>
    <x v="6"/>
    <n v="66"/>
    <n v="1171500"/>
  </r>
  <r>
    <x v="11"/>
    <x v="1"/>
    <x v="0"/>
    <n v="2251"/>
    <n v="39743825"/>
  </r>
  <r>
    <x v="11"/>
    <x v="1"/>
    <x v="1"/>
    <n v="4795"/>
    <n v="90412225"/>
  </r>
  <r>
    <x v="11"/>
    <x v="1"/>
    <x v="7"/>
    <n v="42"/>
    <n v="580150"/>
  </r>
  <r>
    <x v="11"/>
    <x v="1"/>
    <x v="8"/>
    <n v="56"/>
    <n v="731625"/>
  </r>
  <r>
    <x v="11"/>
    <x v="1"/>
    <x v="3"/>
    <n v="6107"/>
    <n v="95854075"/>
  </r>
  <r>
    <x v="11"/>
    <x v="1"/>
    <x v="4"/>
    <n v="70"/>
    <n v="1473875"/>
  </r>
  <r>
    <x v="11"/>
    <x v="1"/>
    <x v="5"/>
    <n v="31"/>
    <n v="576850"/>
  </r>
  <r>
    <x v="11"/>
    <x v="1"/>
    <x v="6"/>
    <n v="180"/>
    <n v="3825975"/>
  </r>
  <r>
    <x v="11"/>
    <x v="2"/>
    <x v="0"/>
    <n v="1544"/>
    <n v="25955450"/>
  </r>
  <r>
    <x v="11"/>
    <x v="2"/>
    <x v="1"/>
    <n v="2758"/>
    <n v="45799675"/>
  </r>
  <r>
    <x v="11"/>
    <x v="2"/>
    <x v="7"/>
    <n v="26"/>
    <n v="425325"/>
  </r>
  <r>
    <x v="11"/>
    <x v="2"/>
    <x v="8"/>
    <n v="31"/>
    <n v="482675"/>
  </r>
  <r>
    <x v="11"/>
    <x v="2"/>
    <x v="3"/>
    <n v="3259"/>
    <n v="47234825"/>
  </r>
  <r>
    <x v="11"/>
    <x v="2"/>
    <x v="4"/>
    <n v="31"/>
    <n v="516325"/>
  </r>
  <r>
    <x v="11"/>
    <x v="2"/>
    <x v="5"/>
    <n v="15"/>
    <n v="266425"/>
  </r>
  <r>
    <x v="11"/>
    <x v="2"/>
    <x v="6"/>
    <n v="109"/>
    <n v="2014600"/>
  </r>
  <r>
    <x v="12"/>
    <x v="0"/>
    <x v="0"/>
    <n v="458"/>
    <n v="3348475"/>
  </r>
  <r>
    <x v="12"/>
    <x v="0"/>
    <x v="1"/>
    <n v="1790"/>
    <n v="10883225"/>
  </r>
  <r>
    <x v="12"/>
    <x v="0"/>
    <x v="3"/>
    <n v="1393"/>
    <n v="7199700"/>
  </r>
  <r>
    <x v="12"/>
    <x v="0"/>
    <x v="4"/>
    <n v="9"/>
    <n v="54200"/>
  </r>
  <r>
    <x v="12"/>
    <x v="0"/>
    <x v="5"/>
    <n v="6"/>
    <n v="73000"/>
  </r>
  <r>
    <x v="12"/>
    <x v="0"/>
    <x v="6"/>
    <n v="45"/>
    <n v="356475"/>
  </r>
  <r>
    <x v="12"/>
    <x v="1"/>
    <x v="0"/>
    <n v="592"/>
    <n v="5644100"/>
  </r>
  <r>
    <x v="12"/>
    <x v="1"/>
    <x v="1"/>
    <n v="2475"/>
    <n v="17622500"/>
  </r>
  <r>
    <x v="12"/>
    <x v="1"/>
    <x v="7"/>
    <n v="3"/>
    <n v="17100"/>
  </r>
  <r>
    <x v="12"/>
    <x v="1"/>
    <x v="8"/>
    <n v="8"/>
    <n v="37750"/>
  </r>
  <r>
    <x v="12"/>
    <x v="1"/>
    <x v="3"/>
    <n v="3047"/>
    <n v="19159100"/>
  </r>
  <r>
    <x v="12"/>
    <x v="1"/>
    <x v="4"/>
    <n v="16"/>
    <n v="129075"/>
  </r>
  <r>
    <x v="12"/>
    <x v="1"/>
    <x v="5"/>
    <n v="10"/>
    <n v="57800"/>
  </r>
  <r>
    <x v="12"/>
    <x v="1"/>
    <x v="6"/>
    <n v="71"/>
    <n v="623575"/>
  </r>
  <r>
    <x v="12"/>
    <x v="2"/>
    <x v="0"/>
    <n v="630"/>
    <n v="4730375"/>
  </r>
  <r>
    <x v="12"/>
    <x v="2"/>
    <x v="1"/>
    <n v="2264"/>
    <n v="13998600"/>
  </r>
  <r>
    <x v="12"/>
    <x v="2"/>
    <x v="7"/>
    <n v="3"/>
    <n v="14400"/>
  </r>
  <r>
    <x v="12"/>
    <x v="2"/>
    <x v="8"/>
    <n v="5"/>
    <n v="23500"/>
  </r>
  <r>
    <x v="12"/>
    <x v="2"/>
    <x v="3"/>
    <n v="2612"/>
    <n v="13999025"/>
  </r>
  <r>
    <x v="12"/>
    <x v="2"/>
    <x v="4"/>
    <n v="19"/>
    <n v="156700"/>
  </r>
  <r>
    <x v="12"/>
    <x v="2"/>
    <x v="5"/>
    <n v="10"/>
    <n v="100000"/>
  </r>
  <r>
    <x v="12"/>
    <x v="2"/>
    <x v="6"/>
    <n v="59"/>
    <n v="479200"/>
  </r>
  <r>
    <x v="13"/>
    <x v="0"/>
    <x v="0"/>
    <n v="36"/>
    <n v="453825"/>
  </r>
  <r>
    <x v="13"/>
    <x v="0"/>
    <x v="1"/>
    <n v="1"/>
    <n v="14900"/>
  </r>
  <r>
    <x v="13"/>
    <x v="0"/>
    <x v="8"/>
    <n v="4"/>
    <n v="23900"/>
  </r>
  <r>
    <x v="13"/>
    <x v="0"/>
    <x v="3"/>
    <n v="133"/>
    <n v="1284675"/>
  </r>
  <r>
    <x v="13"/>
    <x v="1"/>
    <x v="0"/>
    <n v="144"/>
    <n v="1714275"/>
  </r>
  <r>
    <x v="13"/>
    <x v="1"/>
    <x v="1"/>
    <n v="4"/>
    <n v="61000"/>
  </r>
  <r>
    <x v="13"/>
    <x v="1"/>
    <x v="7"/>
    <n v="5"/>
    <n v="61600"/>
  </r>
  <r>
    <x v="13"/>
    <x v="1"/>
    <x v="8"/>
    <n v="27"/>
    <n v="203500"/>
  </r>
  <r>
    <x v="13"/>
    <x v="1"/>
    <x v="3"/>
    <n v="1142"/>
    <n v="11971500"/>
  </r>
  <r>
    <x v="13"/>
    <x v="2"/>
    <x v="0"/>
    <n v="99"/>
    <n v="1126650"/>
  </r>
  <r>
    <x v="13"/>
    <x v="2"/>
    <x v="7"/>
    <n v="8"/>
    <n v="53000"/>
  </r>
  <r>
    <x v="13"/>
    <x v="2"/>
    <x v="8"/>
    <n v="12"/>
    <n v="85100"/>
  </r>
  <r>
    <x v="13"/>
    <x v="2"/>
    <x v="3"/>
    <n v="740"/>
    <n v="76167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BE80EB-0C58-4375-A665-02FBFD3F13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5:E10" firstHeaderRow="1" firstDataRow="2" firstDataCol="1"/>
  <pivotFields count="5">
    <pivotField showAll="0"/>
    <pivotField axis="axisRow" showAll="0">
      <items count="4">
        <item x="0"/>
        <item x="1"/>
        <item x="2"/>
        <item t="default"/>
      </items>
    </pivotField>
    <pivotField axis="axisCol" showAll="0">
      <items count="10">
        <item x="0"/>
        <item h="1" x="1"/>
        <item x="2"/>
        <item h="1" x="7"/>
        <item h="1" x="8"/>
        <item x="3"/>
        <item h="1" x="4"/>
        <item h="1" x="5"/>
        <item h="1" x="6"/>
        <item t="default"/>
      </items>
    </pivotField>
    <pivotField dataField="1" showAll="0"/>
    <pivotField showAll="0"/>
  </pivotFields>
  <rowFields count="1">
    <field x="1"/>
  </rowFields>
  <rowItems count="4">
    <i>
      <x/>
    </i>
    <i>
      <x v="1"/>
    </i>
    <i>
      <x v="2"/>
    </i>
    <i t="grand">
      <x/>
    </i>
  </rowItems>
  <colFields count="1">
    <field x="2"/>
  </colFields>
  <colItems count="4">
    <i>
      <x/>
    </i>
    <i>
      <x v="2"/>
    </i>
    <i>
      <x v="5"/>
    </i>
    <i t="grand">
      <x/>
    </i>
  </colItems>
  <dataFields count="1">
    <dataField name="Sum of total_peminjam" fld="3" baseField="0" baseItem="0"/>
  </dataFields>
  <chartFormats count="16">
    <chartFormat chart="5" format="9" series="1">
      <pivotArea type="data" outline="0" fieldPosition="0">
        <references count="2">
          <reference field="4294967294" count="1" selected="0">
            <x v="0"/>
          </reference>
          <reference field="2" count="1" selected="0">
            <x v="0"/>
          </reference>
        </references>
      </pivotArea>
    </chartFormat>
    <chartFormat chart="5" format="10" series="1">
      <pivotArea type="data" outline="0" fieldPosition="0">
        <references count="2">
          <reference field="4294967294" count="1" selected="0">
            <x v="0"/>
          </reference>
          <reference field="2" count="1" selected="0">
            <x v="2"/>
          </reference>
        </references>
      </pivotArea>
    </chartFormat>
    <chartFormat chart="5" format="11" series="1">
      <pivotArea type="data" outline="0" fieldPosition="0">
        <references count="2">
          <reference field="4294967294" count="1" selected="0">
            <x v="0"/>
          </reference>
          <reference field="2" count="1" selected="0">
            <x v="5"/>
          </reference>
        </references>
      </pivotArea>
    </chartFormat>
    <chartFormat chart="6" format="12" series="1">
      <pivotArea type="data" outline="0" fieldPosition="0">
        <references count="2">
          <reference field="4294967294" count="1" selected="0">
            <x v="0"/>
          </reference>
          <reference field="2" count="1" selected="0">
            <x v="0"/>
          </reference>
        </references>
      </pivotArea>
    </chartFormat>
    <chartFormat chart="6" format="13" series="1">
      <pivotArea type="data" outline="0" fieldPosition="0">
        <references count="2">
          <reference field="4294967294" count="1" selected="0">
            <x v="0"/>
          </reference>
          <reference field="2" count="1" selected="0">
            <x v="2"/>
          </reference>
        </references>
      </pivotArea>
    </chartFormat>
    <chartFormat chart="6" format="14" series="1">
      <pivotArea type="data" outline="0" fieldPosition="0">
        <references count="2">
          <reference field="4294967294" count="1" selected="0">
            <x v="0"/>
          </reference>
          <reference field="2" count="1" selected="0">
            <x v="5"/>
          </reference>
        </references>
      </pivotArea>
    </chartFormat>
    <chartFormat chart="0" format="15" series="1">
      <pivotArea type="data" outline="0" fieldPosition="0">
        <references count="2">
          <reference field="4294967294" count="1" selected="0">
            <x v="0"/>
          </reference>
          <reference field="2" count="1" selected="0">
            <x v="0"/>
          </reference>
        </references>
      </pivotArea>
    </chartFormat>
    <chartFormat chart="0" format="16" series="1">
      <pivotArea type="data" outline="0" fieldPosition="0">
        <references count="2">
          <reference field="4294967294" count="1" selected="0">
            <x v="0"/>
          </reference>
          <reference field="2" count="1" selected="0">
            <x v="2"/>
          </reference>
        </references>
      </pivotArea>
    </chartFormat>
    <chartFormat chart="0" format="17" series="1">
      <pivotArea type="data" outline="0" fieldPosition="0">
        <references count="2">
          <reference field="4294967294" count="1" selected="0">
            <x v="0"/>
          </reference>
          <reference field="2" count="1" selected="0">
            <x v="5"/>
          </reference>
        </references>
      </pivotArea>
    </chartFormat>
    <chartFormat chart="12" format="21" series="1">
      <pivotArea type="data" outline="0" fieldPosition="0">
        <references count="2">
          <reference field="4294967294" count="1" selected="0">
            <x v="0"/>
          </reference>
          <reference field="2" count="1" selected="0">
            <x v="0"/>
          </reference>
        </references>
      </pivotArea>
    </chartFormat>
    <chartFormat chart="12" format="22" series="1">
      <pivotArea type="data" outline="0" fieldPosition="0">
        <references count="2">
          <reference field="4294967294" count="1" selected="0">
            <x v="0"/>
          </reference>
          <reference field="2" count="1" selected="0">
            <x v="2"/>
          </reference>
        </references>
      </pivotArea>
    </chartFormat>
    <chartFormat chart="12" format="23" series="1">
      <pivotArea type="data" outline="0" fieldPosition="0">
        <references count="2">
          <reference field="4294967294" count="1" selected="0">
            <x v="0"/>
          </reference>
          <reference field="2" count="1" selected="0">
            <x v="5"/>
          </reference>
        </references>
      </pivotArea>
    </chartFormat>
    <chartFormat chart="12" format="24" series="1">
      <pivotArea type="data" outline="0" fieldPosition="0">
        <references count="2">
          <reference field="4294967294" count="1" selected="0">
            <x v="0"/>
          </reference>
          <reference field="2" count="1" selected="0">
            <x v="1"/>
          </reference>
        </references>
      </pivotArea>
    </chartFormat>
    <chartFormat chart="0" format="18" series="1">
      <pivotArea type="data" outline="0" fieldPosition="0">
        <references count="2">
          <reference field="4294967294" count="1" selected="0">
            <x v="0"/>
          </reference>
          <reference field="2" count="1" selected="0">
            <x v="1"/>
          </reference>
        </references>
      </pivotArea>
    </chartFormat>
    <chartFormat chart="12" format="25" series="1">
      <pivotArea type="data" outline="0" fieldPosition="0">
        <references count="2">
          <reference field="4294967294" count="1" selected="0">
            <x v="0"/>
          </reference>
          <reference field="2" count="1" selected="0">
            <x v="7"/>
          </reference>
        </references>
      </pivotArea>
    </chartFormat>
    <chartFormat chart="0" format="19" series="1">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F6A2A6-5CBA-40F5-B844-32BC8E48644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C5:C6" firstHeaderRow="1" firstDataRow="1" firstDataCol="0"/>
  <pivotFields count="5">
    <pivotField showAll="0"/>
    <pivotField showAll="0">
      <items count="4">
        <item x="0"/>
        <item x="1"/>
        <item x="2"/>
        <item t="default"/>
      </items>
    </pivotField>
    <pivotField showAll="0"/>
    <pivotField showAll="0"/>
    <pivotField dataField="1" showAll="0"/>
  </pivotFields>
  <rowItems count="1">
    <i/>
  </rowItems>
  <colItems count="1">
    <i/>
  </colItems>
  <dataFields count="1">
    <dataField name="Sum of total_nominal_pinjaman"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C89AD6-11A8-417A-B5E6-4CE8780E379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A6" firstHeaderRow="1" firstDataRow="1" firstDataCol="0"/>
  <pivotFields count="5">
    <pivotField showAll="0"/>
    <pivotField showAll="0">
      <items count="4">
        <item x="0"/>
        <item x="1"/>
        <item x="2"/>
        <item t="default"/>
      </items>
    </pivotField>
    <pivotField showAll="0"/>
    <pivotField dataField="1" showAll="0"/>
    <pivotField showAll="0"/>
  </pivotFields>
  <rowItems count="1">
    <i/>
  </rowItems>
  <colItems count="1">
    <i/>
  </colItems>
  <dataFields count="1">
    <dataField name="Sum of total_peminjam"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43C3C9-4116-4188-AE67-277B6D5C508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B20" firstHeaderRow="1" firstDataRow="1" firstDataCol="1"/>
  <pivotFields count="5">
    <pivotField axis="axisRow" showAll="0" sortType="descending">
      <items count="18">
        <item x="0"/>
        <item n="Credit Card" x="1"/>
        <item n="Debt Consolidation" x="2"/>
        <item x="3"/>
        <item n="Home Improvement " x="4"/>
        <item x="5"/>
        <item m="1" x="14"/>
        <item x="7"/>
        <item x="8"/>
        <item x="9"/>
        <item n="Renewable Energy" m="1" x="15"/>
        <item m="1" x="16"/>
        <item x="12"/>
        <item x="13"/>
        <item x="6"/>
        <item n="Renewable Energy " x="10"/>
        <item x="1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10">
        <item x="0"/>
        <item h="1" x="1"/>
        <item x="2"/>
        <item h="1" x="7"/>
        <item h="1" x="8"/>
        <item x="3"/>
        <item h="1" x="4"/>
        <item h="1" x="5"/>
        <item h="1" x="6"/>
        <item t="default"/>
      </items>
    </pivotField>
    <pivotField showAll="0"/>
    <pivotField dataField="1" showAll="0"/>
  </pivotFields>
  <rowFields count="1">
    <field x="0"/>
  </rowFields>
  <rowItems count="15">
    <i>
      <x v="2"/>
    </i>
    <i>
      <x v="1"/>
    </i>
    <i>
      <x v="4"/>
    </i>
    <i>
      <x v="9"/>
    </i>
    <i>
      <x v="14"/>
    </i>
    <i>
      <x v="16"/>
    </i>
    <i>
      <x v="7"/>
    </i>
    <i>
      <x/>
    </i>
    <i>
      <x v="5"/>
    </i>
    <i>
      <x v="8"/>
    </i>
    <i>
      <x v="12"/>
    </i>
    <i>
      <x v="13"/>
    </i>
    <i>
      <x v="15"/>
    </i>
    <i>
      <x v="3"/>
    </i>
    <i t="grand">
      <x/>
    </i>
  </rowItems>
  <colItems count="1">
    <i/>
  </colItems>
  <dataFields count="1">
    <dataField name="Sum of total_nominal_pinjaman" fld="4" baseField="0" baseItem="0"/>
  </dataFields>
  <formats count="4">
    <format dxfId="3">
      <pivotArea field="0" type="button" dataOnly="0" labelOnly="1" outline="0" axis="axisRow" fieldPosition="0"/>
    </format>
    <format dxfId="2">
      <pivotArea dataOnly="0" labelOnly="1" outline="0" axis="axisValues" fieldPosition="0"/>
    </format>
    <format dxfId="1">
      <pivotArea field="0" type="button" dataOnly="0" labelOnly="1" outline="0" axis="axisRow" fieldPosition="0"/>
    </format>
    <format dxfId="0">
      <pivotArea dataOnly="0" labelOnly="1" outline="0" axis="axisValues" fieldPosition="0"/>
    </format>
  </formats>
  <chartFormats count="2">
    <chartFormat chart="9"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D366A9-CE43-4871-BBB8-BC749CF9AA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5:D21" firstHeaderRow="1" firstDataRow="2" firstDataCol="1"/>
  <pivotFields count="5">
    <pivotField axis="axisRow" showAll="0">
      <items count="18">
        <item x="0"/>
        <item n="Credit Card" x="1"/>
        <item n="Debt Consolidation" x="2"/>
        <item x="3"/>
        <item n="Home Improvement" x="4"/>
        <item x="5"/>
        <item m="1" x="14"/>
        <item x="7"/>
        <item x="8"/>
        <item x="9"/>
        <item n="Renewable Energy" m="1" x="15"/>
        <item m="1" x="16"/>
        <item x="12"/>
        <item x="13"/>
        <item x="6"/>
        <item n="Renewable Energy " x="10"/>
        <item x="11"/>
        <item t="default"/>
      </items>
    </pivotField>
    <pivotField showAll="0">
      <items count="4">
        <item x="0"/>
        <item x="1"/>
        <item x="2"/>
        <item t="default"/>
      </items>
    </pivotField>
    <pivotField axis="axisCol" showAll="0">
      <items count="10">
        <item x="0"/>
        <item h="1" x="1"/>
        <item x="2"/>
        <item h="1" x="7"/>
        <item h="1" x="8"/>
        <item h="1" x="3"/>
        <item h="1" x="4"/>
        <item h="1" x="5"/>
        <item h="1" x="6"/>
        <item t="default"/>
      </items>
    </pivotField>
    <pivotField dataField="1" showAll="0"/>
    <pivotField showAll="0"/>
  </pivotFields>
  <rowFields count="1">
    <field x="0"/>
  </rowFields>
  <rowItems count="15">
    <i>
      <x v="2"/>
    </i>
    <i>
      <x v="1"/>
    </i>
    <i>
      <x v="9"/>
    </i>
    <i>
      <x v="4"/>
    </i>
    <i>
      <x v="14"/>
    </i>
    <i>
      <x v="16"/>
    </i>
    <i>
      <x v="7"/>
    </i>
    <i>
      <x v="8"/>
    </i>
    <i>
      <x/>
    </i>
    <i>
      <x v="12"/>
    </i>
    <i>
      <x v="5"/>
    </i>
    <i>
      <x v="13"/>
    </i>
    <i>
      <x v="15"/>
    </i>
    <i>
      <x v="3"/>
    </i>
    <i t="grand">
      <x/>
    </i>
  </rowItems>
  <colFields count="1">
    <field x="2"/>
  </colFields>
  <colItems count="3">
    <i>
      <x/>
    </i>
    <i>
      <x v="2"/>
    </i>
    <i t="grand">
      <x/>
    </i>
  </colItems>
  <dataFields count="1">
    <dataField name="Sum of total_peminjam" fld="3" baseField="0" baseItem="0"/>
  </dataFields>
  <chartFormats count="8">
    <chartFormat chart="13" format="0" series="1">
      <pivotArea type="data" outline="0" fieldPosition="0">
        <references count="2">
          <reference field="4294967294" count="1" selected="0">
            <x v="0"/>
          </reference>
          <reference field="2" count="1" selected="0">
            <x v="0"/>
          </reference>
        </references>
      </pivotArea>
    </chartFormat>
    <chartFormat chart="13" format="1" series="1">
      <pivotArea type="data" outline="0" fieldPosition="0">
        <references count="2">
          <reference field="4294967294" count="1" selected="0">
            <x v="0"/>
          </reference>
          <reference field="2" count="1" selected="0">
            <x v="2"/>
          </reference>
        </references>
      </pivotArea>
    </chartFormat>
    <chartFormat chart="15" format="4" series="1">
      <pivotArea type="data" outline="0" fieldPosition="0">
        <references count="2">
          <reference field="4294967294" count="1" selected="0">
            <x v="0"/>
          </reference>
          <reference field="2" count="1" selected="0">
            <x v="0"/>
          </reference>
        </references>
      </pivotArea>
    </chartFormat>
    <chartFormat chart="15" format="5" series="1">
      <pivotArea type="data" outline="0" fieldPosition="0">
        <references count="2">
          <reference field="4294967294" count="1" selected="0">
            <x v="0"/>
          </reference>
          <reference field="2" count="1" selected="0">
            <x v="2"/>
          </reference>
        </references>
      </pivotArea>
    </chartFormat>
    <chartFormat chart="15" format="6" series="1">
      <pivotArea type="data" outline="0" fieldPosition="0">
        <references count="2">
          <reference field="4294967294" count="1" selected="0">
            <x v="0"/>
          </reference>
          <reference field="2" count="1" selected="0">
            <x v="5"/>
          </reference>
        </references>
      </pivotArea>
    </chartFormat>
    <chartFormat chart="13" format="2" series="1">
      <pivotArea type="data" outline="0" fieldPosition="0">
        <references count="2">
          <reference field="4294967294" count="1" selected="0">
            <x v="0"/>
          </reference>
          <reference field="2" count="1" selected="0">
            <x v="5"/>
          </reference>
        </references>
      </pivotArea>
    </chartFormat>
    <chartFormat chart="15" format="7" series="1">
      <pivotArea type="data" outline="0" fieldPosition="0">
        <references count="2">
          <reference field="4294967294" count="1" selected="0">
            <x v="0"/>
          </reference>
          <reference field="2" count="1" selected="0">
            <x v="1"/>
          </reference>
        </references>
      </pivotArea>
    </chartFormat>
    <chartFormat chart="13" format="3"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l_risiko" xr10:uid="{022B2B0A-9E89-4EC6-A8A7-42A13124A27F}" sourceName="profil_risiko">
  <pivotTables>
    <pivotTable tabId="2" name="PivotTable1"/>
    <pivotTable tabId="7" name="PivotTable2"/>
    <pivotTable tabId="8" name="PivotTable3"/>
    <pivotTable tabId="11" name="PivotTable4"/>
    <pivotTable tabId="11" name="PivotTable5"/>
  </pivotTables>
  <data>
    <tabular pivotCacheId="189859722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pinjaman" xr10:uid="{D4970E9A-6934-4A05-B57C-2069AC541AAF}" sourceName="status_pinjaman">
  <pivotTables>
    <pivotTable tabId="2" name="PivotTable1"/>
    <pivotTable tabId="8" name="PivotTable3"/>
  </pivotTables>
  <data>
    <tabular pivotCacheId="1898597226">
      <items count="9">
        <i x="0" s="1"/>
        <i x="1"/>
        <i x="2" s="1"/>
        <i x="7"/>
        <i x="8"/>
        <i x="3" s="1"/>
        <i x="4"/>
        <i x="5"/>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fil_risiko" xr10:uid="{C527E03E-4CA9-438B-B704-988F3AED9963}" cache="Slicer_profil_risiko" caption="profil_risiko" rowHeight="241300"/>
  <slicer name="status_pinjaman" xr10:uid="{0157215D-7E50-4F45-8140-F72810F6ECD3}" cache="Slicer_status_pinjaman" caption="status_pinjama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F73B8-0403-48FA-B509-BC25CEE863F8}">
  <dimension ref="A1:E316"/>
  <sheetViews>
    <sheetView topLeftCell="A163" workbookViewId="0">
      <selection activeCell="G8" sqref="G8"/>
    </sheetView>
  </sheetViews>
  <sheetFormatPr defaultRowHeight="14.5" x14ac:dyDescent="0.35"/>
  <cols>
    <col min="1" max="5" width="24.6328125" customWidth="1"/>
  </cols>
  <sheetData>
    <row r="1" spans="1:5" x14ac:dyDescent="0.35">
      <c r="A1" s="15" t="s">
        <v>44</v>
      </c>
      <c r="B1" s="16"/>
      <c r="C1" s="16"/>
      <c r="D1" s="16"/>
      <c r="E1" s="16"/>
    </row>
    <row r="2" spans="1:5" x14ac:dyDescent="0.35">
      <c r="A2" s="16"/>
      <c r="B2" s="16"/>
      <c r="C2" s="16"/>
      <c r="D2" s="16"/>
      <c r="E2" s="16"/>
    </row>
    <row r="3" spans="1:5" x14ac:dyDescent="0.35">
      <c r="A3" s="16"/>
      <c r="B3" s="16"/>
      <c r="C3" s="16"/>
      <c r="D3" s="16"/>
      <c r="E3" s="16"/>
    </row>
    <row r="5" spans="1:5" x14ac:dyDescent="0.35">
      <c r="A5" s="13" t="s">
        <v>43</v>
      </c>
      <c r="B5" s="13" t="s">
        <v>0</v>
      </c>
      <c r="C5" s="13" t="s">
        <v>1</v>
      </c>
      <c r="D5" s="13" t="s">
        <v>2</v>
      </c>
      <c r="E5" s="13" t="s">
        <v>3</v>
      </c>
    </row>
    <row r="6" spans="1:5" x14ac:dyDescent="0.35">
      <c r="A6" s="12" t="s">
        <v>33</v>
      </c>
      <c r="B6" s="12" t="s">
        <v>4</v>
      </c>
      <c r="C6" s="12" t="s">
        <v>5</v>
      </c>
      <c r="D6" s="12">
        <v>424</v>
      </c>
      <c r="E6" s="12">
        <v>4233250</v>
      </c>
    </row>
    <row r="7" spans="1:5" x14ac:dyDescent="0.35">
      <c r="A7" s="12" t="s">
        <v>33</v>
      </c>
      <c r="B7" s="12" t="s">
        <v>4</v>
      </c>
      <c r="C7" s="12" t="s">
        <v>6</v>
      </c>
      <c r="D7" s="12">
        <v>1747</v>
      </c>
      <c r="E7" s="12">
        <v>17172025</v>
      </c>
    </row>
    <row r="8" spans="1:5" x14ac:dyDescent="0.35">
      <c r="A8" s="12" t="s">
        <v>33</v>
      </c>
      <c r="B8" s="12" t="s">
        <v>4</v>
      </c>
      <c r="C8" s="12" t="s">
        <v>7</v>
      </c>
      <c r="D8" s="12">
        <v>1</v>
      </c>
      <c r="E8" s="12">
        <v>12800</v>
      </c>
    </row>
    <row r="9" spans="1:5" x14ac:dyDescent="0.35">
      <c r="A9" s="12" t="s">
        <v>33</v>
      </c>
      <c r="B9" s="12" t="s">
        <v>4</v>
      </c>
      <c r="C9" s="12" t="s">
        <v>8</v>
      </c>
      <c r="D9" s="12">
        <v>1500</v>
      </c>
      <c r="E9" s="12">
        <v>12577175</v>
      </c>
    </row>
    <row r="10" spans="1:5" x14ac:dyDescent="0.35">
      <c r="A10" s="12" t="s">
        <v>33</v>
      </c>
      <c r="B10" s="12" t="s">
        <v>4</v>
      </c>
      <c r="C10" s="12" t="s">
        <v>9</v>
      </c>
      <c r="D10" s="12">
        <v>22</v>
      </c>
      <c r="E10" s="12">
        <v>252750</v>
      </c>
    </row>
    <row r="11" spans="1:5" x14ac:dyDescent="0.35">
      <c r="A11" s="12" t="s">
        <v>33</v>
      </c>
      <c r="B11" s="12" t="s">
        <v>4</v>
      </c>
      <c r="C11" s="12" t="s">
        <v>10</v>
      </c>
      <c r="D11" s="12">
        <v>8</v>
      </c>
      <c r="E11" s="12">
        <v>110950</v>
      </c>
    </row>
    <row r="12" spans="1:5" x14ac:dyDescent="0.35">
      <c r="A12" s="12" t="s">
        <v>33</v>
      </c>
      <c r="B12" s="12" t="s">
        <v>4</v>
      </c>
      <c r="C12" s="12" t="s">
        <v>11</v>
      </c>
      <c r="D12" s="12">
        <v>47</v>
      </c>
      <c r="E12" s="12">
        <v>454325</v>
      </c>
    </row>
    <row r="13" spans="1:5" x14ac:dyDescent="0.35">
      <c r="A13" s="12" t="s">
        <v>33</v>
      </c>
      <c r="B13" s="12" t="s">
        <v>12</v>
      </c>
      <c r="C13" s="12" t="s">
        <v>5</v>
      </c>
      <c r="D13" s="12">
        <v>930</v>
      </c>
      <c r="E13" s="12">
        <v>10013225</v>
      </c>
    </row>
    <row r="14" spans="1:5" x14ac:dyDescent="0.35">
      <c r="A14" s="12" t="s">
        <v>33</v>
      </c>
      <c r="B14" s="12" t="s">
        <v>12</v>
      </c>
      <c r="C14" s="12" t="s">
        <v>6</v>
      </c>
      <c r="D14" s="12">
        <v>4751</v>
      </c>
      <c r="E14" s="12">
        <v>49294150</v>
      </c>
    </row>
    <row r="15" spans="1:5" x14ac:dyDescent="0.35">
      <c r="A15" s="12" t="s">
        <v>33</v>
      </c>
      <c r="B15" s="12" t="s">
        <v>12</v>
      </c>
      <c r="C15" s="12" t="s">
        <v>13</v>
      </c>
      <c r="D15" s="12">
        <v>8</v>
      </c>
      <c r="E15" s="12">
        <v>56400</v>
      </c>
    </row>
    <row r="16" spans="1:5" x14ac:dyDescent="0.35">
      <c r="A16" s="12" t="s">
        <v>33</v>
      </c>
      <c r="B16" s="12" t="s">
        <v>12</v>
      </c>
      <c r="C16" s="12" t="s">
        <v>14</v>
      </c>
      <c r="D16" s="12">
        <v>40</v>
      </c>
      <c r="E16" s="12">
        <v>215150</v>
      </c>
    </row>
    <row r="17" spans="1:5" x14ac:dyDescent="0.35">
      <c r="A17" s="12" t="s">
        <v>33</v>
      </c>
      <c r="B17" s="12" t="s">
        <v>12</v>
      </c>
      <c r="C17" s="12" t="s">
        <v>8</v>
      </c>
      <c r="D17" s="12">
        <v>6822</v>
      </c>
      <c r="E17" s="12">
        <v>59097600</v>
      </c>
    </row>
    <row r="18" spans="1:5" x14ac:dyDescent="0.35">
      <c r="A18" s="12" t="s">
        <v>33</v>
      </c>
      <c r="B18" s="12" t="s">
        <v>12</v>
      </c>
      <c r="C18" s="12" t="s">
        <v>9</v>
      </c>
      <c r="D18" s="12">
        <v>31</v>
      </c>
      <c r="E18" s="12">
        <v>289000</v>
      </c>
    </row>
    <row r="19" spans="1:5" x14ac:dyDescent="0.35">
      <c r="A19" s="12" t="s">
        <v>33</v>
      </c>
      <c r="B19" s="12" t="s">
        <v>12</v>
      </c>
      <c r="C19" s="12" t="s">
        <v>10</v>
      </c>
      <c r="D19" s="12">
        <v>18</v>
      </c>
      <c r="E19" s="12">
        <v>200600</v>
      </c>
    </row>
    <row r="20" spans="1:5" x14ac:dyDescent="0.35">
      <c r="A20" s="12" t="s">
        <v>33</v>
      </c>
      <c r="B20" s="12" t="s">
        <v>12</v>
      </c>
      <c r="C20" s="12" t="s">
        <v>11</v>
      </c>
      <c r="D20" s="12">
        <v>97</v>
      </c>
      <c r="E20" s="12">
        <v>1377150</v>
      </c>
    </row>
    <row r="21" spans="1:5" x14ac:dyDescent="0.35">
      <c r="A21" s="12" t="s">
        <v>33</v>
      </c>
      <c r="B21" s="12" t="s">
        <v>15</v>
      </c>
      <c r="C21" s="12" t="s">
        <v>5</v>
      </c>
      <c r="D21" s="12">
        <v>713</v>
      </c>
      <c r="E21" s="12">
        <v>7366775</v>
      </c>
    </row>
    <row r="22" spans="1:5" x14ac:dyDescent="0.35">
      <c r="A22" s="12" t="s">
        <v>33</v>
      </c>
      <c r="B22" s="12" t="s">
        <v>15</v>
      </c>
      <c r="C22" s="12" t="s">
        <v>6</v>
      </c>
      <c r="D22" s="12">
        <v>3004</v>
      </c>
      <c r="E22" s="12">
        <v>30051975</v>
      </c>
    </row>
    <row r="23" spans="1:5" x14ac:dyDescent="0.35">
      <c r="A23" s="12" t="s">
        <v>33</v>
      </c>
      <c r="B23" s="12" t="s">
        <v>15</v>
      </c>
      <c r="C23" s="12" t="s">
        <v>13</v>
      </c>
      <c r="D23" s="12">
        <v>5</v>
      </c>
      <c r="E23" s="12">
        <v>54900</v>
      </c>
    </row>
    <row r="24" spans="1:5" x14ac:dyDescent="0.35">
      <c r="A24" s="12" t="s">
        <v>33</v>
      </c>
      <c r="B24" s="12" t="s">
        <v>15</v>
      </c>
      <c r="C24" s="12" t="s">
        <v>14</v>
      </c>
      <c r="D24" s="12">
        <v>11</v>
      </c>
      <c r="E24" s="12">
        <v>82700</v>
      </c>
    </row>
    <row r="25" spans="1:5" x14ac:dyDescent="0.35">
      <c r="A25" s="12" t="s">
        <v>33</v>
      </c>
      <c r="B25" s="12" t="s">
        <v>15</v>
      </c>
      <c r="C25" s="12" t="s">
        <v>8</v>
      </c>
      <c r="D25" s="12">
        <v>3731</v>
      </c>
      <c r="E25" s="12">
        <v>31495700</v>
      </c>
    </row>
    <row r="26" spans="1:5" x14ac:dyDescent="0.35">
      <c r="A26" s="12" t="s">
        <v>33</v>
      </c>
      <c r="B26" s="12" t="s">
        <v>15</v>
      </c>
      <c r="C26" s="12" t="s">
        <v>9</v>
      </c>
      <c r="D26" s="12">
        <v>29</v>
      </c>
      <c r="E26" s="12">
        <v>357500</v>
      </c>
    </row>
    <row r="27" spans="1:5" x14ac:dyDescent="0.35">
      <c r="A27" s="12" t="s">
        <v>33</v>
      </c>
      <c r="B27" s="12" t="s">
        <v>15</v>
      </c>
      <c r="C27" s="12" t="s">
        <v>10</v>
      </c>
      <c r="D27" s="12">
        <v>9</v>
      </c>
      <c r="E27" s="12">
        <v>111100</v>
      </c>
    </row>
    <row r="28" spans="1:5" x14ac:dyDescent="0.35">
      <c r="A28" s="12" t="s">
        <v>33</v>
      </c>
      <c r="B28" s="12" t="s">
        <v>15</v>
      </c>
      <c r="C28" s="12" t="s">
        <v>11</v>
      </c>
      <c r="D28" s="12">
        <v>65</v>
      </c>
      <c r="E28" s="12">
        <v>694200</v>
      </c>
    </row>
    <row r="29" spans="1:5" x14ac:dyDescent="0.35">
      <c r="A29" s="12" t="s">
        <v>34</v>
      </c>
      <c r="B29" s="12" t="s">
        <v>4</v>
      </c>
      <c r="C29" s="12" t="s">
        <v>5</v>
      </c>
      <c r="D29" s="12">
        <v>14835</v>
      </c>
      <c r="E29" s="12">
        <v>235516900</v>
      </c>
    </row>
    <row r="30" spans="1:5" x14ac:dyDescent="0.35">
      <c r="A30" s="12" t="s">
        <v>34</v>
      </c>
      <c r="B30" s="12" t="s">
        <v>4</v>
      </c>
      <c r="C30" s="12" t="s">
        <v>6</v>
      </c>
      <c r="D30" s="12">
        <v>57210</v>
      </c>
      <c r="E30" s="12">
        <v>964269475</v>
      </c>
    </row>
    <row r="31" spans="1:5" x14ac:dyDescent="0.35">
      <c r="A31" s="12" t="s">
        <v>34</v>
      </c>
      <c r="B31" s="12" t="s">
        <v>4</v>
      </c>
      <c r="C31" s="12" t="s">
        <v>13</v>
      </c>
      <c r="D31" s="12">
        <v>1</v>
      </c>
      <c r="E31" s="12">
        <v>7500</v>
      </c>
    </row>
    <row r="32" spans="1:5" x14ac:dyDescent="0.35">
      <c r="A32" s="12" t="s">
        <v>34</v>
      </c>
      <c r="B32" s="12" t="s">
        <v>4</v>
      </c>
      <c r="C32" s="12" t="s">
        <v>14</v>
      </c>
      <c r="D32" s="12">
        <v>20</v>
      </c>
      <c r="E32" s="12">
        <v>142325</v>
      </c>
    </row>
    <row r="33" spans="1:5" x14ac:dyDescent="0.35">
      <c r="A33" s="12" t="s">
        <v>34</v>
      </c>
      <c r="B33" s="12" t="s">
        <v>4</v>
      </c>
      <c r="C33" s="12" t="s">
        <v>8</v>
      </c>
      <c r="D33" s="12">
        <v>48000</v>
      </c>
      <c r="E33" s="12">
        <v>713394200</v>
      </c>
    </row>
    <row r="34" spans="1:5" x14ac:dyDescent="0.35">
      <c r="A34" s="12" t="s">
        <v>34</v>
      </c>
      <c r="B34" s="12" t="s">
        <v>4</v>
      </c>
      <c r="C34" s="12" t="s">
        <v>9</v>
      </c>
      <c r="D34" s="12">
        <v>479</v>
      </c>
      <c r="E34" s="12">
        <v>8727650</v>
      </c>
    </row>
    <row r="35" spans="1:5" x14ac:dyDescent="0.35">
      <c r="A35" s="12" t="s">
        <v>34</v>
      </c>
      <c r="B35" s="12" t="s">
        <v>4</v>
      </c>
      <c r="C35" s="12" t="s">
        <v>10</v>
      </c>
      <c r="D35" s="12">
        <v>184</v>
      </c>
      <c r="E35" s="12">
        <v>3112400</v>
      </c>
    </row>
    <row r="36" spans="1:5" x14ac:dyDescent="0.35">
      <c r="A36" s="12" t="s">
        <v>34</v>
      </c>
      <c r="B36" s="12" t="s">
        <v>4</v>
      </c>
      <c r="C36" s="12" t="s">
        <v>11</v>
      </c>
      <c r="D36" s="12">
        <v>1200</v>
      </c>
      <c r="E36" s="12">
        <v>19884450</v>
      </c>
    </row>
    <row r="37" spans="1:5" x14ac:dyDescent="0.35">
      <c r="A37" s="12" t="s">
        <v>34</v>
      </c>
      <c r="B37" s="12" t="s">
        <v>12</v>
      </c>
      <c r="C37" s="12" t="s">
        <v>5</v>
      </c>
      <c r="D37" s="12">
        <v>13896</v>
      </c>
      <c r="E37" s="12">
        <v>210052550</v>
      </c>
    </row>
    <row r="38" spans="1:5" x14ac:dyDescent="0.35">
      <c r="A38" s="12" t="s">
        <v>34</v>
      </c>
      <c r="B38" s="12" t="s">
        <v>12</v>
      </c>
      <c r="C38" s="12" t="s">
        <v>6</v>
      </c>
      <c r="D38" s="12">
        <v>79945</v>
      </c>
      <c r="E38" s="12">
        <v>1190753050</v>
      </c>
    </row>
    <row r="39" spans="1:5" x14ac:dyDescent="0.35">
      <c r="A39" s="12" t="s">
        <v>34</v>
      </c>
      <c r="B39" s="12" t="s">
        <v>12</v>
      </c>
      <c r="C39" s="12" t="s">
        <v>7</v>
      </c>
      <c r="D39" s="12">
        <v>1</v>
      </c>
      <c r="E39" s="12">
        <v>24000</v>
      </c>
    </row>
    <row r="40" spans="1:5" x14ac:dyDescent="0.35">
      <c r="A40" s="12" t="s">
        <v>34</v>
      </c>
      <c r="B40" s="12" t="s">
        <v>12</v>
      </c>
      <c r="C40" s="12" t="s">
        <v>13</v>
      </c>
      <c r="D40" s="12">
        <v>35</v>
      </c>
      <c r="E40" s="12">
        <v>368500</v>
      </c>
    </row>
    <row r="41" spans="1:5" x14ac:dyDescent="0.35">
      <c r="A41" s="12" t="s">
        <v>34</v>
      </c>
      <c r="B41" s="12" t="s">
        <v>12</v>
      </c>
      <c r="C41" s="12" t="s">
        <v>14</v>
      </c>
      <c r="D41" s="12">
        <v>116</v>
      </c>
      <c r="E41" s="12">
        <v>1034050</v>
      </c>
    </row>
    <row r="42" spans="1:5" x14ac:dyDescent="0.35">
      <c r="A42" s="12" t="s">
        <v>34</v>
      </c>
      <c r="B42" s="12" t="s">
        <v>12</v>
      </c>
      <c r="C42" s="12" t="s">
        <v>8</v>
      </c>
      <c r="D42" s="12">
        <v>93515</v>
      </c>
      <c r="E42" s="12">
        <v>1309905775</v>
      </c>
    </row>
    <row r="43" spans="1:5" x14ac:dyDescent="0.35">
      <c r="A43" s="12" t="s">
        <v>34</v>
      </c>
      <c r="B43" s="12" t="s">
        <v>12</v>
      </c>
      <c r="C43" s="12" t="s">
        <v>9</v>
      </c>
      <c r="D43" s="12">
        <v>537</v>
      </c>
      <c r="E43" s="12">
        <v>8779200</v>
      </c>
    </row>
    <row r="44" spans="1:5" x14ac:dyDescent="0.35">
      <c r="A44" s="12" t="s">
        <v>34</v>
      </c>
      <c r="B44" s="12" t="s">
        <v>12</v>
      </c>
      <c r="C44" s="12" t="s">
        <v>10</v>
      </c>
      <c r="D44" s="12">
        <v>259</v>
      </c>
      <c r="E44" s="12">
        <v>3859550</v>
      </c>
    </row>
    <row r="45" spans="1:5" x14ac:dyDescent="0.35">
      <c r="A45" s="12" t="s">
        <v>34</v>
      </c>
      <c r="B45" s="12" t="s">
        <v>12</v>
      </c>
      <c r="C45" s="12" t="s">
        <v>11</v>
      </c>
      <c r="D45" s="12">
        <v>1295</v>
      </c>
      <c r="E45" s="12">
        <v>19935900</v>
      </c>
    </row>
    <row r="46" spans="1:5" x14ac:dyDescent="0.35">
      <c r="A46" s="12" t="s">
        <v>34</v>
      </c>
      <c r="B46" s="12" t="s">
        <v>15</v>
      </c>
      <c r="C46" s="12" t="s">
        <v>5</v>
      </c>
      <c r="D46" s="12">
        <v>19915</v>
      </c>
      <c r="E46" s="12">
        <v>317345075</v>
      </c>
    </row>
    <row r="47" spans="1:5" x14ac:dyDescent="0.35">
      <c r="A47" s="12" t="s">
        <v>34</v>
      </c>
      <c r="B47" s="12" t="s">
        <v>15</v>
      </c>
      <c r="C47" s="12" t="s">
        <v>6</v>
      </c>
      <c r="D47" s="12">
        <v>87251</v>
      </c>
      <c r="E47" s="12">
        <v>1423491875</v>
      </c>
    </row>
    <row r="48" spans="1:5" x14ac:dyDescent="0.35">
      <c r="A48" s="12" t="s">
        <v>34</v>
      </c>
      <c r="B48" s="12" t="s">
        <v>15</v>
      </c>
      <c r="C48" s="12" t="s">
        <v>7</v>
      </c>
      <c r="D48" s="12">
        <v>3</v>
      </c>
      <c r="E48" s="12">
        <v>36500</v>
      </c>
    </row>
    <row r="49" spans="1:5" x14ac:dyDescent="0.35">
      <c r="A49" s="12" t="s">
        <v>34</v>
      </c>
      <c r="B49" s="12" t="s">
        <v>15</v>
      </c>
      <c r="C49" s="12" t="s">
        <v>13</v>
      </c>
      <c r="D49" s="12">
        <v>33</v>
      </c>
      <c r="E49" s="12">
        <v>362700</v>
      </c>
    </row>
    <row r="50" spans="1:5" x14ac:dyDescent="0.35">
      <c r="A50" s="12" t="s">
        <v>34</v>
      </c>
      <c r="B50" s="12" t="s">
        <v>15</v>
      </c>
      <c r="C50" s="12" t="s">
        <v>14</v>
      </c>
      <c r="D50" s="12">
        <v>135</v>
      </c>
      <c r="E50" s="12">
        <v>1405850</v>
      </c>
    </row>
    <row r="51" spans="1:5" x14ac:dyDescent="0.35">
      <c r="A51" s="12" t="s">
        <v>34</v>
      </c>
      <c r="B51" s="12" t="s">
        <v>15</v>
      </c>
      <c r="C51" s="12" t="s">
        <v>8</v>
      </c>
      <c r="D51" s="12">
        <v>95543</v>
      </c>
      <c r="E51" s="12">
        <v>1444892125</v>
      </c>
    </row>
    <row r="52" spans="1:5" x14ac:dyDescent="0.35">
      <c r="A52" s="12" t="s">
        <v>34</v>
      </c>
      <c r="B52" s="12" t="s">
        <v>15</v>
      </c>
      <c r="C52" s="12" t="s">
        <v>9</v>
      </c>
      <c r="D52" s="12">
        <v>712</v>
      </c>
      <c r="E52" s="12">
        <v>12204150</v>
      </c>
    </row>
    <row r="53" spans="1:5" x14ac:dyDescent="0.35">
      <c r="A53" s="12" t="s">
        <v>34</v>
      </c>
      <c r="B53" s="12" t="s">
        <v>15</v>
      </c>
      <c r="C53" s="12" t="s">
        <v>10</v>
      </c>
      <c r="D53" s="12">
        <v>258</v>
      </c>
      <c r="E53" s="12">
        <v>4454625</v>
      </c>
    </row>
    <row r="54" spans="1:5" x14ac:dyDescent="0.35">
      <c r="A54" s="12" t="s">
        <v>34</v>
      </c>
      <c r="B54" s="12" t="s">
        <v>15</v>
      </c>
      <c r="C54" s="12" t="s">
        <v>11</v>
      </c>
      <c r="D54" s="12">
        <v>1593</v>
      </c>
      <c r="E54" s="12">
        <v>25895950</v>
      </c>
    </row>
    <row r="55" spans="1:5" x14ac:dyDescent="0.35">
      <c r="A55" s="12" t="s">
        <v>16</v>
      </c>
      <c r="B55" s="12" t="s">
        <v>4</v>
      </c>
      <c r="C55" s="12" t="s">
        <v>5</v>
      </c>
      <c r="D55" s="12">
        <v>50562</v>
      </c>
      <c r="E55" s="12">
        <v>817143525</v>
      </c>
    </row>
    <row r="56" spans="1:5" x14ac:dyDescent="0.35">
      <c r="A56" s="12" t="s">
        <v>16</v>
      </c>
      <c r="B56" s="12" t="s">
        <v>4</v>
      </c>
      <c r="C56" s="12" t="s">
        <v>6</v>
      </c>
      <c r="D56" s="12">
        <v>135638</v>
      </c>
      <c r="E56" s="12">
        <v>2387351725</v>
      </c>
    </row>
    <row r="57" spans="1:5" x14ac:dyDescent="0.35">
      <c r="A57" s="12" t="s">
        <v>16</v>
      </c>
      <c r="B57" s="12" t="s">
        <v>4</v>
      </c>
      <c r="C57" s="12" t="s">
        <v>7</v>
      </c>
      <c r="D57" s="12">
        <v>8</v>
      </c>
      <c r="E57" s="12">
        <v>137000</v>
      </c>
    </row>
    <row r="58" spans="1:5" x14ac:dyDescent="0.35">
      <c r="A58" s="12" t="s">
        <v>16</v>
      </c>
      <c r="B58" s="12" t="s">
        <v>4</v>
      </c>
      <c r="C58" s="12" t="s">
        <v>13</v>
      </c>
      <c r="D58" s="12">
        <v>18</v>
      </c>
      <c r="E58" s="12">
        <v>171525</v>
      </c>
    </row>
    <row r="59" spans="1:5" x14ac:dyDescent="0.35">
      <c r="A59" s="12" t="s">
        <v>16</v>
      </c>
      <c r="B59" s="12" t="s">
        <v>4</v>
      </c>
      <c r="C59" s="12" t="s">
        <v>14</v>
      </c>
      <c r="D59" s="12">
        <v>57</v>
      </c>
      <c r="E59" s="12">
        <v>496350</v>
      </c>
    </row>
    <row r="60" spans="1:5" x14ac:dyDescent="0.35">
      <c r="A60" s="12" t="s">
        <v>16</v>
      </c>
      <c r="B60" s="12" t="s">
        <v>4</v>
      </c>
      <c r="C60" s="12" t="s">
        <v>8</v>
      </c>
      <c r="D60" s="12">
        <v>128526</v>
      </c>
      <c r="E60" s="12">
        <v>1928118025</v>
      </c>
    </row>
    <row r="61" spans="1:5" x14ac:dyDescent="0.35">
      <c r="A61" s="12" t="s">
        <v>16</v>
      </c>
      <c r="B61" s="12" t="s">
        <v>4</v>
      </c>
      <c r="C61" s="12" t="s">
        <v>9</v>
      </c>
      <c r="D61" s="12">
        <v>1628</v>
      </c>
      <c r="E61" s="12">
        <v>30798850</v>
      </c>
    </row>
    <row r="62" spans="1:5" x14ac:dyDescent="0.35">
      <c r="A62" s="12" t="s">
        <v>16</v>
      </c>
      <c r="B62" s="12" t="s">
        <v>4</v>
      </c>
      <c r="C62" s="12" t="s">
        <v>10</v>
      </c>
      <c r="D62" s="12">
        <v>659</v>
      </c>
      <c r="E62" s="12">
        <v>11679625</v>
      </c>
    </row>
    <row r="63" spans="1:5" x14ac:dyDescent="0.35">
      <c r="A63" s="12" t="s">
        <v>16</v>
      </c>
      <c r="B63" s="12" t="s">
        <v>4</v>
      </c>
      <c r="C63" s="12" t="s">
        <v>11</v>
      </c>
      <c r="D63" s="12">
        <v>3802</v>
      </c>
      <c r="E63" s="12">
        <v>67555525</v>
      </c>
    </row>
    <row r="64" spans="1:5" x14ac:dyDescent="0.35">
      <c r="A64" s="12" t="s">
        <v>16</v>
      </c>
      <c r="B64" s="12" t="s">
        <v>12</v>
      </c>
      <c r="C64" s="12" t="s">
        <v>5</v>
      </c>
      <c r="D64" s="12">
        <v>44107</v>
      </c>
      <c r="E64" s="12">
        <v>699993000</v>
      </c>
    </row>
    <row r="65" spans="1:5" x14ac:dyDescent="0.35">
      <c r="A65" s="12" t="s">
        <v>16</v>
      </c>
      <c r="B65" s="12" t="s">
        <v>12</v>
      </c>
      <c r="C65" s="12" t="s">
        <v>6</v>
      </c>
      <c r="D65" s="12">
        <v>169520</v>
      </c>
      <c r="E65" s="12">
        <v>2760868900</v>
      </c>
    </row>
    <row r="66" spans="1:5" x14ac:dyDescent="0.35">
      <c r="A66" s="12" t="s">
        <v>16</v>
      </c>
      <c r="B66" s="12" t="s">
        <v>12</v>
      </c>
      <c r="C66" s="12" t="s">
        <v>7</v>
      </c>
      <c r="D66" s="12">
        <v>4</v>
      </c>
      <c r="E66" s="12">
        <v>75150</v>
      </c>
    </row>
    <row r="67" spans="1:5" x14ac:dyDescent="0.35">
      <c r="A67" s="12" t="s">
        <v>16</v>
      </c>
      <c r="B67" s="12" t="s">
        <v>12</v>
      </c>
      <c r="C67" s="12" t="s">
        <v>13</v>
      </c>
      <c r="D67" s="12">
        <v>133</v>
      </c>
      <c r="E67" s="12">
        <v>1281650</v>
      </c>
    </row>
    <row r="68" spans="1:5" x14ac:dyDescent="0.35">
      <c r="A68" s="12" t="s">
        <v>16</v>
      </c>
      <c r="B68" s="12" t="s">
        <v>12</v>
      </c>
      <c r="C68" s="12" t="s">
        <v>14</v>
      </c>
      <c r="D68" s="12">
        <v>353</v>
      </c>
      <c r="E68" s="12">
        <v>3355250</v>
      </c>
    </row>
    <row r="69" spans="1:5" x14ac:dyDescent="0.35">
      <c r="A69" s="12" t="s">
        <v>16</v>
      </c>
      <c r="B69" s="12" t="s">
        <v>12</v>
      </c>
      <c r="C69" s="12" t="s">
        <v>8</v>
      </c>
      <c r="D69" s="12">
        <v>223644</v>
      </c>
      <c r="E69" s="12">
        <v>3238139775</v>
      </c>
    </row>
    <row r="70" spans="1:5" x14ac:dyDescent="0.35">
      <c r="A70" s="12" t="s">
        <v>16</v>
      </c>
      <c r="B70" s="12" t="s">
        <v>12</v>
      </c>
      <c r="C70" s="12" t="s">
        <v>9</v>
      </c>
      <c r="D70" s="12">
        <v>1744</v>
      </c>
      <c r="E70" s="12">
        <v>31209700</v>
      </c>
    </row>
    <row r="71" spans="1:5" x14ac:dyDescent="0.35">
      <c r="A71" s="12" t="s">
        <v>16</v>
      </c>
      <c r="B71" s="12" t="s">
        <v>12</v>
      </c>
      <c r="C71" s="12" t="s">
        <v>10</v>
      </c>
      <c r="D71" s="12">
        <v>661</v>
      </c>
      <c r="E71" s="12">
        <v>11715175</v>
      </c>
    </row>
    <row r="72" spans="1:5" x14ac:dyDescent="0.35">
      <c r="A72" s="12" t="s">
        <v>16</v>
      </c>
      <c r="B72" s="12" t="s">
        <v>12</v>
      </c>
      <c r="C72" s="12" t="s">
        <v>11</v>
      </c>
      <c r="D72" s="12">
        <v>4027</v>
      </c>
      <c r="E72" s="12">
        <v>69032950</v>
      </c>
    </row>
    <row r="73" spans="1:5" x14ac:dyDescent="0.35">
      <c r="A73" s="12" t="s">
        <v>16</v>
      </c>
      <c r="B73" s="12" t="s">
        <v>15</v>
      </c>
      <c r="C73" s="12" t="s">
        <v>5</v>
      </c>
      <c r="D73" s="12">
        <v>66370</v>
      </c>
      <c r="E73" s="12">
        <v>1092934925</v>
      </c>
    </row>
    <row r="74" spans="1:5" x14ac:dyDescent="0.35">
      <c r="A74" s="12" t="s">
        <v>16</v>
      </c>
      <c r="B74" s="12" t="s">
        <v>15</v>
      </c>
      <c r="C74" s="12" t="s">
        <v>6</v>
      </c>
      <c r="D74" s="12">
        <v>193851</v>
      </c>
      <c r="E74" s="12">
        <v>3351801525</v>
      </c>
    </row>
    <row r="75" spans="1:5" x14ac:dyDescent="0.35">
      <c r="A75" s="12" t="s">
        <v>16</v>
      </c>
      <c r="B75" s="12" t="s">
        <v>15</v>
      </c>
      <c r="C75" s="12" t="s">
        <v>7</v>
      </c>
      <c r="D75" s="12">
        <v>7</v>
      </c>
      <c r="E75" s="12">
        <v>125350</v>
      </c>
    </row>
    <row r="76" spans="1:5" x14ac:dyDescent="0.35">
      <c r="A76" s="12" t="s">
        <v>16</v>
      </c>
      <c r="B76" s="12" t="s">
        <v>15</v>
      </c>
      <c r="C76" s="12" t="s">
        <v>13</v>
      </c>
      <c r="D76" s="12">
        <v>141</v>
      </c>
      <c r="E76" s="12">
        <v>1390650</v>
      </c>
    </row>
    <row r="77" spans="1:5" x14ac:dyDescent="0.35">
      <c r="A77" s="12" t="s">
        <v>16</v>
      </c>
      <c r="B77" s="12" t="s">
        <v>15</v>
      </c>
      <c r="C77" s="12" t="s">
        <v>14</v>
      </c>
      <c r="D77" s="12">
        <v>398</v>
      </c>
      <c r="E77" s="12">
        <v>4354600</v>
      </c>
    </row>
    <row r="78" spans="1:5" x14ac:dyDescent="0.35">
      <c r="A78" s="12" t="s">
        <v>16</v>
      </c>
      <c r="B78" s="12" t="s">
        <v>15</v>
      </c>
      <c r="C78" s="12" t="s">
        <v>8</v>
      </c>
      <c r="D78" s="12">
        <v>244382</v>
      </c>
      <c r="E78" s="12">
        <v>3756117200</v>
      </c>
    </row>
    <row r="79" spans="1:5" x14ac:dyDescent="0.35">
      <c r="A79" s="12" t="s">
        <v>16</v>
      </c>
      <c r="B79" s="12" t="s">
        <v>15</v>
      </c>
      <c r="C79" s="12" t="s">
        <v>9</v>
      </c>
      <c r="D79" s="12">
        <v>1972</v>
      </c>
      <c r="E79" s="12">
        <v>36899700</v>
      </c>
    </row>
    <row r="80" spans="1:5" x14ac:dyDescent="0.35">
      <c r="A80" s="12" t="s">
        <v>16</v>
      </c>
      <c r="B80" s="12" t="s">
        <v>15</v>
      </c>
      <c r="C80" s="12" t="s">
        <v>10</v>
      </c>
      <c r="D80" s="12">
        <v>859</v>
      </c>
      <c r="E80" s="12">
        <v>15506925</v>
      </c>
    </row>
    <row r="81" spans="1:5" x14ac:dyDescent="0.35">
      <c r="A81" s="12" t="s">
        <v>16</v>
      </c>
      <c r="B81" s="12" t="s">
        <v>15</v>
      </c>
      <c r="C81" s="12" t="s">
        <v>11</v>
      </c>
      <c r="D81" s="12">
        <v>4806</v>
      </c>
      <c r="E81" s="12">
        <v>85218950</v>
      </c>
    </row>
    <row r="82" spans="1:5" x14ac:dyDescent="0.35">
      <c r="A82" s="12" t="s">
        <v>40</v>
      </c>
      <c r="B82" s="12" t="s">
        <v>4</v>
      </c>
      <c r="C82" s="12" t="s">
        <v>13</v>
      </c>
      <c r="D82" s="12">
        <v>1</v>
      </c>
      <c r="E82" s="12">
        <v>3575</v>
      </c>
    </row>
    <row r="83" spans="1:5" x14ac:dyDescent="0.35">
      <c r="A83" s="12" t="s">
        <v>40</v>
      </c>
      <c r="B83" s="12" t="s">
        <v>4</v>
      </c>
      <c r="C83" s="12" t="s">
        <v>14</v>
      </c>
      <c r="D83" s="12">
        <v>2</v>
      </c>
      <c r="E83" s="12">
        <v>6000</v>
      </c>
    </row>
    <row r="84" spans="1:5" x14ac:dyDescent="0.35">
      <c r="A84" s="12" t="s">
        <v>40</v>
      </c>
      <c r="B84" s="12" t="s">
        <v>4</v>
      </c>
      <c r="C84" s="12" t="s">
        <v>8</v>
      </c>
      <c r="D84" s="12">
        <v>1</v>
      </c>
      <c r="E84" s="12">
        <v>3000</v>
      </c>
    </row>
    <row r="85" spans="1:5" x14ac:dyDescent="0.35">
      <c r="A85" s="12" t="s">
        <v>40</v>
      </c>
      <c r="B85" s="12" t="s">
        <v>12</v>
      </c>
      <c r="C85" s="12" t="s">
        <v>5</v>
      </c>
      <c r="D85" s="12">
        <v>37</v>
      </c>
      <c r="E85" s="12">
        <v>301850</v>
      </c>
    </row>
    <row r="86" spans="1:5" x14ac:dyDescent="0.35">
      <c r="A86" s="12" t="s">
        <v>40</v>
      </c>
      <c r="B86" s="12" t="s">
        <v>12</v>
      </c>
      <c r="C86" s="12" t="s">
        <v>13</v>
      </c>
      <c r="D86" s="12">
        <v>16</v>
      </c>
      <c r="E86" s="12">
        <v>93275</v>
      </c>
    </row>
    <row r="87" spans="1:5" x14ac:dyDescent="0.35">
      <c r="A87" s="12" t="s">
        <v>40</v>
      </c>
      <c r="B87" s="12" t="s">
        <v>12</v>
      </c>
      <c r="C87" s="12" t="s">
        <v>14</v>
      </c>
      <c r="D87" s="12">
        <v>46</v>
      </c>
      <c r="E87" s="12">
        <v>252550</v>
      </c>
    </row>
    <row r="88" spans="1:5" x14ac:dyDescent="0.35">
      <c r="A88" s="12" t="s">
        <v>40</v>
      </c>
      <c r="B88" s="12" t="s">
        <v>12</v>
      </c>
      <c r="C88" s="12" t="s">
        <v>8</v>
      </c>
      <c r="D88" s="12">
        <v>190</v>
      </c>
      <c r="E88" s="12">
        <v>1256650</v>
      </c>
    </row>
    <row r="89" spans="1:5" x14ac:dyDescent="0.35">
      <c r="A89" s="12" t="s">
        <v>40</v>
      </c>
      <c r="B89" s="12" t="s">
        <v>15</v>
      </c>
      <c r="C89" s="12" t="s">
        <v>5</v>
      </c>
      <c r="D89" s="12">
        <v>19</v>
      </c>
      <c r="E89" s="12">
        <v>138250</v>
      </c>
    </row>
    <row r="90" spans="1:5" x14ac:dyDescent="0.35">
      <c r="A90" s="12" t="s">
        <v>40</v>
      </c>
      <c r="B90" s="12" t="s">
        <v>15</v>
      </c>
      <c r="C90" s="12" t="s">
        <v>6</v>
      </c>
      <c r="D90" s="12">
        <v>1</v>
      </c>
      <c r="E90" s="12">
        <v>6000</v>
      </c>
    </row>
    <row r="91" spans="1:5" x14ac:dyDescent="0.35">
      <c r="A91" s="12" t="s">
        <v>40</v>
      </c>
      <c r="B91" s="12" t="s">
        <v>15</v>
      </c>
      <c r="C91" s="12" t="s">
        <v>13</v>
      </c>
      <c r="D91" s="12">
        <v>15</v>
      </c>
      <c r="E91" s="12">
        <v>108775</v>
      </c>
    </row>
    <row r="92" spans="1:5" x14ac:dyDescent="0.35">
      <c r="A92" s="12" t="s">
        <v>40</v>
      </c>
      <c r="B92" s="12" t="s">
        <v>15</v>
      </c>
      <c r="C92" s="12" t="s">
        <v>14</v>
      </c>
      <c r="D92" s="12">
        <v>17</v>
      </c>
      <c r="E92" s="12">
        <v>118825</v>
      </c>
    </row>
    <row r="93" spans="1:5" x14ac:dyDescent="0.35">
      <c r="A93" s="12" t="s">
        <v>40</v>
      </c>
      <c r="B93" s="12" t="s">
        <v>15</v>
      </c>
      <c r="C93" s="12" t="s">
        <v>8</v>
      </c>
      <c r="D93" s="12">
        <v>79</v>
      </c>
      <c r="E93" s="12">
        <v>515850</v>
      </c>
    </row>
    <row r="94" spans="1:5" x14ac:dyDescent="0.35">
      <c r="A94" s="12" t="s">
        <v>17</v>
      </c>
      <c r="B94" s="12" t="s">
        <v>4</v>
      </c>
      <c r="C94" s="12" t="s">
        <v>5</v>
      </c>
      <c r="D94" s="12">
        <v>3376</v>
      </c>
      <c r="E94" s="12">
        <v>48636075</v>
      </c>
    </row>
    <row r="95" spans="1:5" x14ac:dyDescent="0.35">
      <c r="A95" s="12" t="s">
        <v>17</v>
      </c>
      <c r="B95" s="12" t="s">
        <v>4</v>
      </c>
      <c r="C95" s="12" t="s">
        <v>6</v>
      </c>
      <c r="D95" s="12">
        <v>14136</v>
      </c>
      <c r="E95" s="12">
        <v>197327025</v>
      </c>
    </row>
    <row r="96" spans="1:5" x14ac:dyDescent="0.35">
      <c r="A96" s="12" t="s">
        <v>17</v>
      </c>
      <c r="B96" s="12" t="s">
        <v>4</v>
      </c>
      <c r="C96" s="12" t="s">
        <v>13</v>
      </c>
      <c r="D96" s="12">
        <v>4</v>
      </c>
      <c r="E96" s="12">
        <v>17400</v>
      </c>
    </row>
    <row r="97" spans="1:5" x14ac:dyDescent="0.35">
      <c r="A97" s="12" t="s">
        <v>17</v>
      </c>
      <c r="B97" s="12" t="s">
        <v>4</v>
      </c>
      <c r="C97" s="12" t="s">
        <v>14</v>
      </c>
      <c r="D97" s="12">
        <v>3</v>
      </c>
      <c r="E97" s="12">
        <v>21250</v>
      </c>
    </row>
    <row r="98" spans="1:5" x14ac:dyDescent="0.35">
      <c r="A98" s="12" t="s">
        <v>17</v>
      </c>
      <c r="B98" s="12" t="s">
        <v>4</v>
      </c>
      <c r="C98" s="12" t="s">
        <v>8</v>
      </c>
      <c r="D98" s="12">
        <v>10420</v>
      </c>
      <c r="E98" s="12">
        <v>123524700</v>
      </c>
    </row>
    <row r="99" spans="1:5" x14ac:dyDescent="0.35">
      <c r="A99" s="12" t="s">
        <v>17</v>
      </c>
      <c r="B99" s="12" t="s">
        <v>4</v>
      </c>
      <c r="C99" s="12" t="s">
        <v>9</v>
      </c>
      <c r="D99" s="12">
        <v>139</v>
      </c>
      <c r="E99" s="12">
        <v>2364050</v>
      </c>
    </row>
    <row r="100" spans="1:5" x14ac:dyDescent="0.35">
      <c r="A100" s="12" t="s">
        <v>17</v>
      </c>
      <c r="B100" s="12" t="s">
        <v>4</v>
      </c>
      <c r="C100" s="12" t="s">
        <v>10</v>
      </c>
      <c r="D100" s="12">
        <v>55</v>
      </c>
      <c r="E100" s="12">
        <v>961125</v>
      </c>
    </row>
    <row r="101" spans="1:5" x14ac:dyDescent="0.35">
      <c r="A101" s="12" t="s">
        <v>17</v>
      </c>
      <c r="B101" s="12" t="s">
        <v>4</v>
      </c>
      <c r="C101" s="12" t="s">
        <v>11</v>
      </c>
      <c r="D101" s="12">
        <v>343</v>
      </c>
      <c r="E101" s="12">
        <v>4982600</v>
      </c>
    </row>
    <row r="102" spans="1:5" x14ac:dyDescent="0.35">
      <c r="A102" s="12" t="s">
        <v>17</v>
      </c>
      <c r="B102" s="12" t="s">
        <v>12</v>
      </c>
      <c r="C102" s="12" t="s">
        <v>5</v>
      </c>
      <c r="D102" s="12">
        <v>6254</v>
      </c>
      <c r="E102" s="12">
        <v>109122075</v>
      </c>
    </row>
    <row r="103" spans="1:5" x14ac:dyDescent="0.35">
      <c r="A103" s="12" t="s">
        <v>17</v>
      </c>
      <c r="B103" s="12" t="s">
        <v>12</v>
      </c>
      <c r="C103" s="12" t="s">
        <v>6</v>
      </c>
      <c r="D103" s="12">
        <v>27644</v>
      </c>
      <c r="E103" s="12">
        <v>455629075</v>
      </c>
    </row>
    <row r="104" spans="1:5" x14ac:dyDescent="0.35">
      <c r="A104" s="12" t="s">
        <v>17</v>
      </c>
      <c r="B104" s="12" t="s">
        <v>12</v>
      </c>
      <c r="C104" s="12" t="s">
        <v>7</v>
      </c>
      <c r="D104" s="12">
        <v>1</v>
      </c>
      <c r="E104" s="12">
        <v>24000</v>
      </c>
    </row>
    <row r="105" spans="1:5" x14ac:dyDescent="0.35">
      <c r="A105" s="12" t="s">
        <v>17</v>
      </c>
      <c r="B105" s="12" t="s">
        <v>12</v>
      </c>
      <c r="C105" s="12" t="s">
        <v>13</v>
      </c>
      <c r="D105" s="12">
        <v>39</v>
      </c>
      <c r="E105" s="12">
        <v>389500</v>
      </c>
    </row>
    <row r="106" spans="1:5" x14ac:dyDescent="0.35">
      <c r="A106" s="12" t="s">
        <v>17</v>
      </c>
      <c r="B106" s="12" t="s">
        <v>12</v>
      </c>
      <c r="C106" s="12" t="s">
        <v>14</v>
      </c>
      <c r="D106" s="12">
        <v>79</v>
      </c>
      <c r="E106" s="12">
        <v>713575</v>
      </c>
    </row>
    <row r="107" spans="1:5" x14ac:dyDescent="0.35">
      <c r="A107" s="12" t="s">
        <v>17</v>
      </c>
      <c r="B107" s="12" t="s">
        <v>12</v>
      </c>
      <c r="C107" s="12" t="s">
        <v>8</v>
      </c>
      <c r="D107" s="12">
        <v>35905</v>
      </c>
      <c r="E107" s="12">
        <v>529850600</v>
      </c>
    </row>
    <row r="108" spans="1:5" x14ac:dyDescent="0.35">
      <c r="A108" s="12" t="s">
        <v>17</v>
      </c>
      <c r="B108" s="12" t="s">
        <v>12</v>
      </c>
      <c r="C108" s="12" t="s">
        <v>9</v>
      </c>
      <c r="D108" s="12">
        <v>280</v>
      </c>
      <c r="E108" s="12">
        <v>5701500</v>
      </c>
    </row>
    <row r="109" spans="1:5" x14ac:dyDescent="0.35">
      <c r="A109" s="12" t="s">
        <v>17</v>
      </c>
      <c r="B109" s="12" t="s">
        <v>12</v>
      </c>
      <c r="C109" s="12" t="s">
        <v>10</v>
      </c>
      <c r="D109" s="12">
        <v>108</v>
      </c>
      <c r="E109" s="12">
        <v>2115425</v>
      </c>
    </row>
    <row r="110" spans="1:5" x14ac:dyDescent="0.35">
      <c r="A110" s="12" t="s">
        <v>17</v>
      </c>
      <c r="B110" s="12" t="s">
        <v>12</v>
      </c>
      <c r="C110" s="12" t="s">
        <v>11</v>
      </c>
      <c r="D110" s="12">
        <v>612</v>
      </c>
      <c r="E110" s="12">
        <v>11875275</v>
      </c>
    </row>
    <row r="111" spans="1:5" x14ac:dyDescent="0.35">
      <c r="A111" s="12" t="s">
        <v>17</v>
      </c>
      <c r="B111" s="12" t="s">
        <v>15</v>
      </c>
      <c r="C111" s="12" t="s">
        <v>5</v>
      </c>
      <c r="D111" s="12">
        <v>5455</v>
      </c>
      <c r="E111" s="12">
        <v>83423225</v>
      </c>
    </row>
    <row r="112" spans="1:5" x14ac:dyDescent="0.35">
      <c r="A112" s="12" t="s">
        <v>17</v>
      </c>
      <c r="B112" s="12" t="s">
        <v>15</v>
      </c>
      <c r="C112" s="12" t="s">
        <v>6</v>
      </c>
      <c r="D112" s="12">
        <v>21655</v>
      </c>
      <c r="E112" s="12">
        <v>314942200</v>
      </c>
    </row>
    <row r="113" spans="1:5" x14ac:dyDescent="0.35">
      <c r="A113" s="12" t="s">
        <v>17</v>
      </c>
      <c r="B113" s="12" t="s">
        <v>15</v>
      </c>
      <c r="C113" s="12" t="s">
        <v>7</v>
      </c>
      <c r="D113" s="12">
        <v>1</v>
      </c>
      <c r="E113" s="12">
        <v>21000</v>
      </c>
    </row>
    <row r="114" spans="1:5" x14ac:dyDescent="0.35">
      <c r="A114" s="12" t="s">
        <v>17</v>
      </c>
      <c r="B114" s="12" t="s">
        <v>15</v>
      </c>
      <c r="C114" s="12" t="s">
        <v>13</v>
      </c>
      <c r="D114" s="12">
        <v>28</v>
      </c>
      <c r="E114" s="12">
        <v>268150</v>
      </c>
    </row>
    <row r="115" spans="1:5" x14ac:dyDescent="0.35">
      <c r="A115" s="12" t="s">
        <v>17</v>
      </c>
      <c r="B115" s="12" t="s">
        <v>15</v>
      </c>
      <c r="C115" s="12" t="s">
        <v>14</v>
      </c>
      <c r="D115" s="12">
        <v>61</v>
      </c>
      <c r="E115" s="12">
        <v>553650</v>
      </c>
    </row>
    <row r="116" spans="1:5" x14ac:dyDescent="0.35">
      <c r="A116" s="12" t="s">
        <v>17</v>
      </c>
      <c r="B116" s="12" t="s">
        <v>15</v>
      </c>
      <c r="C116" s="12" t="s">
        <v>8</v>
      </c>
      <c r="D116" s="12">
        <v>23085</v>
      </c>
      <c r="E116" s="12">
        <v>301235875</v>
      </c>
    </row>
    <row r="117" spans="1:5" x14ac:dyDescent="0.35">
      <c r="A117" s="12" t="s">
        <v>17</v>
      </c>
      <c r="B117" s="12" t="s">
        <v>15</v>
      </c>
      <c r="C117" s="12" t="s">
        <v>9</v>
      </c>
      <c r="D117" s="12">
        <v>193</v>
      </c>
      <c r="E117" s="12">
        <v>3431000</v>
      </c>
    </row>
    <row r="118" spans="1:5" x14ac:dyDescent="0.35">
      <c r="A118" s="12" t="s">
        <v>17</v>
      </c>
      <c r="B118" s="12" t="s">
        <v>15</v>
      </c>
      <c r="C118" s="12" t="s">
        <v>10</v>
      </c>
      <c r="D118" s="12">
        <v>87</v>
      </c>
      <c r="E118" s="12">
        <v>1524100</v>
      </c>
    </row>
    <row r="119" spans="1:5" x14ac:dyDescent="0.35">
      <c r="A119" s="12" t="s">
        <v>17</v>
      </c>
      <c r="B119" s="12" t="s">
        <v>15</v>
      </c>
      <c r="C119" s="12" t="s">
        <v>11</v>
      </c>
      <c r="D119" s="12">
        <v>494</v>
      </c>
      <c r="E119" s="12">
        <v>7970175</v>
      </c>
    </row>
    <row r="120" spans="1:5" x14ac:dyDescent="0.35">
      <c r="A120" s="12" t="s">
        <v>35</v>
      </c>
      <c r="B120" s="12" t="s">
        <v>4</v>
      </c>
      <c r="C120" s="12" t="s">
        <v>5</v>
      </c>
      <c r="D120" s="12">
        <v>295</v>
      </c>
      <c r="E120" s="12">
        <v>4225650</v>
      </c>
    </row>
    <row r="121" spans="1:5" x14ac:dyDescent="0.35">
      <c r="A121" s="12" t="s">
        <v>35</v>
      </c>
      <c r="B121" s="12" t="s">
        <v>4</v>
      </c>
      <c r="C121" s="12" t="s">
        <v>6</v>
      </c>
      <c r="D121" s="12">
        <v>1022</v>
      </c>
      <c r="E121" s="12">
        <v>14960600</v>
      </c>
    </row>
    <row r="122" spans="1:5" x14ac:dyDescent="0.35">
      <c r="A122" s="12" t="s">
        <v>35</v>
      </c>
      <c r="B122" s="12" t="s">
        <v>4</v>
      </c>
      <c r="C122" s="12" t="s">
        <v>14</v>
      </c>
      <c r="D122" s="12">
        <v>1</v>
      </c>
      <c r="E122" s="12">
        <v>2400</v>
      </c>
    </row>
    <row r="123" spans="1:5" x14ac:dyDescent="0.35">
      <c r="A123" s="12" t="s">
        <v>35</v>
      </c>
      <c r="B123" s="12" t="s">
        <v>4</v>
      </c>
      <c r="C123" s="12" t="s">
        <v>8</v>
      </c>
      <c r="D123" s="12">
        <v>641</v>
      </c>
      <c r="E123" s="12">
        <v>8170900</v>
      </c>
    </row>
    <row r="124" spans="1:5" x14ac:dyDescent="0.35">
      <c r="A124" s="12" t="s">
        <v>35</v>
      </c>
      <c r="B124" s="12" t="s">
        <v>4</v>
      </c>
      <c r="C124" s="12" t="s">
        <v>9</v>
      </c>
      <c r="D124" s="12">
        <v>8</v>
      </c>
      <c r="E124" s="12">
        <v>167800</v>
      </c>
    </row>
    <row r="125" spans="1:5" x14ac:dyDescent="0.35">
      <c r="A125" s="12" t="s">
        <v>35</v>
      </c>
      <c r="B125" s="12" t="s">
        <v>4</v>
      </c>
      <c r="C125" s="12" t="s">
        <v>10</v>
      </c>
      <c r="D125" s="12">
        <v>7</v>
      </c>
      <c r="E125" s="12">
        <v>122800</v>
      </c>
    </row>
    <row r="126" spans="1:5" x14ac:dyDescent="0.35">
      <c r="A126" s="12" t="s">
        <v>35</v>
      </c>
      <c r="B126" s="12" t="s">
        <v>4</v>
      </c>
      <c r="C126" s="12" t="s">
        <v>11</v>
      </c>
      <c r="D126" s="12">
        <v>31</v>
      </c>
      <c r="E126" s="12">
        <v>488600</v>
      </c>
    </row>
    <row r="127" spans="1:5" x14ac:dyDescent="0.35">
      <c r="A127" s="12" t="s">
        <v>35</v>
      </c>
      <c r="B127" s="12" t="s">
        <v>12</v>
      </c>
      <c r="C127" s="12" t="s">
        <v>5</v>
      </c>
      <c r="D127" s="12">
        <v>700</v>
      </c>
      <c r="E127" s="12">
        <v>11792025</v>
      </c>
    </row>
    <row r="128" spans="1:5" x14ac:dyDescent="0.35">
      <c r="A128" s="12" t="s">
        <v>35</v>
      </c>
      <c r="B128" s="12" t="s">
        <v>12</v>
      </c>
      <c r="C128" s="12" t="s">
        <v>6</v>
      </c>
      <c r="D128" s="12">
        <v>3801</v>
      </c>
      <c r="E128" s="12">
        <v>63907650</v>
      </c>
    </row>
    <row r="129" spans="1:5" x14ac:dyDescent="0.35">
      <c r="A129" s="12" t="s">
        <v>35</v>
      </c>
      <c r="B129" s="12" t="s">
        <v>12</v>
      </c>
      <c r="C129" s="12" t="s">
        <v>13</v>
      </c>
      <c r="D129" s="12">
        <v>9</v>
      </c>
      <c r="E129" s="12">
        <v>77825</v>
      </c>
    </row>
    <row r="130" spans="1:5" x14ac:dyDescent="0.35">
      <c r="A130" s="12" t="s">
        <v>35</v>
      </c>
      <c r="B130" s="12" t="s">
        <v>12</v>
      </c>
      <c r="C130" s="12" t="s">
        <v>14</v>
      </c>
      <c r="D130" s="12">
        <v>22</v>
      </c>
      <c r="E130" s="12">
        <v>191825</v>
      </c>
    </row>
    <row r="131" spans="1:5" x14ac:dyDescent="0.35">
      <c r="A131" s="12" t="s">
        <v>35</v>
      </c>
      <c r="B131" s="12" t="s">
        <v>12</v>
      </c>
      <c r="C131" s="12" t="s">
        <v>8</v>
      </c>
      <c r="D131" s="12">
        <v>3193</v>
      </c>
      <c r="E131" s="12">
        <v>52424525</v>
      </c>
    </row>
    <row r="132" spans="1:5" x14ac:dyDescent="0.35">
      <c r="A132" s="12" t="s">
        <v>35</v>
      </c>
      <c r="B132" s="12" t="s">
        <v>12</v>
      </c>
      <c r="C132" s="12" t="s">
        <v>9</v>
      </c>
      <c r="D132" s="12">
        <v>36</v>
      </c>
      <c r="E132" s="12">
        <v>736775</v>
      </c>
    </row>
    <row r="133" spans="1:5" x14ac:dyDescent="0.35">
      <c r="A133" s="12" t="s">
        <v>35</v>
      </c>
      <c r="B133" s="12" t="s">
        <v>12</v>
      </c>
      <c r="C133" s="12" t="s">
        <v>10</v>
      </c>
      <c r="D133" s="12">
        <v>17</v>
      </c>
      <c r="E133" s="12">
        <v>355700</v>
      </c>
    </row>
    <row r="134" spans="1:5" x14ac:dyDescent="0.35">
      <c r="A134" s="12" t="s">
        <v>35</v>
      </c>
      <c r="B134" s="12" t="s">
        <v>12</v>
      </c>
      <c r="C134" s="12" t="s">
        <v>11</v>
      </c>
      <c r="D134" s="12">
        <v>123</v>
      </c>
      <c r="E134" s="12">
        <v>2393550</v>
      </c>
    </row>
    <row r="135" spans="1:5" x14ac:dyDescent="0.35">
      <c r="A135" s="12" t="s">
        <v>35</v>
      </c>
      <c r="B135" s="12" t="s">
        <v>15</v>
      </c>
      <c r="C135" s="12" t="s">
        <v>5</v>
      </c>
      <c r="D135" s="12">
        <v>518</v>
      </c>
      <c r="E135" s="12">
        <v>8131275</v>
      </c>
    </row>
    <row r="136" spans="1:5" x14ac:dyDescent="0.35">
      <c r="A136" s="12" t="s">
        <v>35</v>
      </c>
      <c r="B136" s="12" t="s">
        <v>15</v>
      </c>
      <c r="C136" s="12" t="s">
        <v>6</v>
      </c>
      <c r="D136" s="12">
        <v>1997</v>
      </c>
      <c r="E136" s="12">
        <v>29965025</v>
      </c>
    </row>
    <row r="137" spans="1:5" x14ac:dyDescent="0.35">
      <c r="A137" s="12" t="s">
        <v>35</v>
      </c>
      <c r="B137" s="12" t="s">
        <v>15</v>
      </c>
      <c r="C137" s="12" t="s">
        <v>13</v>
      </c>
      <c r="D137" s="12">
        <v>2</v>
      </c>
      <c r="E137" s="12">
        <v>10100</v>
      </c>
    </row>
    <row r="138" spans="1:5" x14ac:dyDescent="0.35">
      <c r="A138" s="12" t="s">
        <v>35</v>
      </c>
      <c r="B138" s="12" t="s">
        <v>15</v>
      </c>
      <c r="C138" s="12" t="s">
        <v>14</v>
      </c>
      <c r="D138" s="12">
        <v>10</v>
      </c>
      <c r="E138" s="12">
        <v>63425</v>
      </c>
    </row>
    <row r="139" spans="1:5" x14ac:dyDescent="0.35">
      <c r="A139" s="12" t="s">
        <v>35</v>
      </c>
      <c r="B139" s="12" t="s">
        <v>15</v>
      </c>
      <c r="C139" s="12" t="s">
        <v>8</v>
      </c>
      <c r="D139" s="12">
        <v>1620</v>
      </c>
      <c r="E139" s="12">
        <v>22295475</v>
      </c>
    </row>
    <row r="140" spans="1:5" x14ac:dyDescent="0.35">
      <c r="A140" s="12" t="s">
        <v>35</v>
      </c>
      <c r="B140" s="12" t="s">
        <v>15</v>
      </c>
      <c r="C140" s="12" t="s">
        <v>9</v>
      </c>
      <c r="D140" s="12">
        <v>15</v>
      </c>
      <c r="E140" s="12">
        <v>285050</v>
      </c>
    </row>
    <row r="141" spans="1:5" x14ac:dyDescent="0.35">
      <c r="A141" s="12" t="s">
        <v>35</v>
      </c>
      <c r="B141" s="12" t="s">
        <v>15</v>
      </c>
      <c r="C141" s="12" t="s">
        <v>10</v>
      </c>
      <c r="D141" s="12">
        <v>11</v>
      </c>
      <c r="E141" s="12">
        <v>252375</v>
      </c>
    </row>
    <row r="142" spans="1:5" x14ac:dyDescent="0.35">
      <c r="A142" s="12" t="s">
        <v>35</v>
      </c>
      <c r="B142" s="12" t="s">
        <v>15</v>
      </c>
      <c r="C142" s="12" t="s">
        <v>11</v>
      </c>
      <c r="D142" s="12">
        <v>57</v>
      </c>
      <c r="E142" s="12">
        <v>969225</v>
      </c>
    </row>
    <row r="143" spans="1:5" x14ac:dyDescent="0.35">
      <c r="A143" s="12" t="s">
        <v>31</v>
      </c>
      <c r="B143" s="12" t="s">
        <v>4</v>
      </c>
      <c r="C143" s="12" t="s">
        <v>5</v>
      </c>
      <c r="D143" s="12">
        <v>1020</v>
      </c>
      <c r="E143" s="12">
        <v>13047650</v>
      </c>
    </row>
    <row r="144" spans="1:5" x14ac:dyDescent="0.35">
      <c r="A144" s="12" t="s">
        <v>31</v>
      </c>
      <c r="B144" s="12" t="s">
        <v>4</v>
      </c>
      <c r="C144" s="12" t="s">
        <v>6</v>
      </c>
      <c r="D144" s="12">
        <v>3851</v>
      </c>
      <c r="E144" s="12">
        <v>46423950</v>
      </c>
    </row>
    <row r="145" spans="1:5" x14ac:dyDescent="0.35">
      <c r="A145" s="12" t="s">
        <v>31</v>
      </c>
      <c r="B145" s="12" t="s">
        <v>4</v>
      </c>
      <c r="C145" s="12" t="s">
        <v>14</v>
      </c>
      <c r="D145" s="12">
        <v>1</v>
      </c>
      <c r="E145" s="12">
        <v>3500</v>
      </c>
    </row>
    <row r="146" spans="1:5" x14ac:dyDescent="0.35">
      <c r="A146" s="12" t="s">
        <v>31</v>
      </c>
      <c r="B146" s="12" t="s">
        <v>4</v>
      </c>
      <c r="C146" s="12" t="s">
        <v>8</v>
      </c>
      <c r="D146" s="12">
        <v>2942</v>
      </c>
      <c r="E146" s="12">
        <v>28153150</v>
      </c>
    </row>
    <row r="147" spans="1:5" x14ac:dyDescent="0.35">
      <c r="A147" s="12" t="s">
        <v>31</v>
      </c>
      <c r="B147" s="12" t="s">
        <v>4</v>
      </c>
      <c r="C147" s="12" t="s">
        <v>9</v>
      </c>
      <c r="D147" s="12">
        <v>38</v>
      </c>
      <c r="E147" s="12">
        <v>626675</v>
      </c>
    </row>
    <row r="148" spans="1:5" x14ac:dyDescent="0.35">
      <c r="A148" s="12" t="s">
        <v>31</v>
      </c>
      <c r="B148" s="12" t="s">
        <v>4</v>
      </c>
      <c r="C148" s="12" t="s">
        <v>10</v>
      </c>
      <c r="D148" s="12">
        <v>12</v>
      </c>
      <c r="E148" s="12">
        <v>226050</v>
      </c>
    </row>
    <row r="149" spans="1:5" x14ac:dyDescent="0.35">
      <c r="A149" s="12" t="s">
        <v>31</v>
      </c>
      <c r="B149" s="12" t="s">
        <v>4</v>
      </c>
      <c r="C149" s="12" t="s">
        <v>11</v>
      </c>
      <c r="D149" s="12">
        <v>118</v>
      </c>
      <c r="E149" s="12">
        <v>1797875</v>
      </c>
    </row>
    <row r="150" spans="1:5" x14ac:dyDescent="0.35">
      <c r="A150" s="12" t="s">
        <v>31</v>
      </c>
      <c r="B150" s="12" t="s">
        <v>12</v>
      </c>
      <c r="C150" s="12" t="s">
        <v>5</v>
      </c>
      <c r="D150" s="12">
        <v>2598</v>
      </c>
      <c r="E150" s="12">
        <v>42600375</v>
      </c>
    </row>
    <row r="151" spans="1:5" x14ac:dyDescent="0.35">
      <c r="A151" s="12" t="s">
        <v>31</v>
      </c>
      <c r="B151" s="12" t="s">
        <v>12</v>
      </c>
      <c r="C151" s="12" t="s">
        <v>6</v>
      </c>
      <c r="D151" s="12">
        <v>10701</v>
      </c>
      <c r="E151" s="12">
        <v>157248700</v>
      </c>
    </row>
    <row r="152" spans="1:5" x14ac:dyDescent="0.35">
      <c r="A152" s="12" t="s">
        <v>31</v>
      </c>
      <c r="B152" s="12" t="s">
        <v>12</v>
      </c>
      <c r="C152" s="12" t="s">
        <v>13</v>
      </c>
      <c r="D152" s="12">
        <v>11</v>
      </c>
      <c r="E152" s="12">
        <v>84700</v>
      </c>
    </row>
    <row r="153" spans="1:5" x14ac:dyDescent="0.35">
      <c r="A153" s="12" t="s">
        <v>31</v>
      </c>
      <c r="B153" s="12" t="s">
        <v>12</v>
      </c>
      <c r="C153" s="12" t="s">
        <v>14</v>
      </c>
      <c r="D153" s="12">
        <v>65</v>
      </c>
      <c r="E153" s="12">
        <v>413325</v>
      </c>
    </row>
    <row r="154" spans="1:5" x14ac:dyDescent="0.35">
      <c r="A154" s="12" t="s">
        <v>31</v>
      </c>
      <c r="B154" s="12" t="s">
        <v>12</v>
      </c>
      <c r="C154" s="12" t="s">
        <v>8</v>
      </c>
      <c r="D154" s="12">
        <v>13117</v>
      </c>
      <c r="E154" s="12">
        <v>155924025</v>
      </c>
    </row>
    <row r="155" spans="1:5" x14ac:dyDescent="0.35">
      <c r="A155" s="12" t="s">
        <v>31</v>
      </c>
      <c r="B155" s="12" t="s">
        <v>12</v>
      </c>
      <c r="C155" s="12" t="s">
        <v>9</v>
      </c>
      <c r="D155" s="12">
        <v>92</v>
      </c>
      <c r="E155" s="12">
        <v>1847975</v>
      </c>
    </row>
    <row r="156" spans="1:5" x14ac:dyDescent="0.35">
      <c r="A156" s="12" t="s">
        <v>31</v>
      </c>
      <c r="B156" s="12" t="s">
        <v>12</v>
      </c>
      <c r="C156" s="12" t="s">
        <v>10</v>
      </c>
      <c r="D156" s="12">
        <v>54</v>
      </c>
      <c r="E156" s="12">
        <v>1123875</v>
      </c>
    </row>
    <row r="157" spans="1:5" x14ac:dyDescent="0.35">
      <c r="A157" s="12" t="s">
        <v>31</v>
      </c>
      <c r="B157" s="12" t="s">
        <v>12</v>
      </c>
      <c r="C157" s="12" t="s">
        <v>11</v>
      </c>
      <c r="D157" s="12">
        <v>299</v>
      </c>
      <c r="E157" s="12">
        <v>5642125</v>
      </c>
    </row>
    <row r="158" spans="1:5" x14ac:dyDescent="0.35">
      <c r="A158" s="12" t="s">
        <v>31</v>
      </c>
      <c r="B158" s="12" t="s">
        <v>15</v>
      </c>
      <c r="C158" s="12" t="s">
        <v>5</v>
      </c>
      <c r="D158" s="12">
        <v>1686</v>
      </c>
      <c r="E158" s="12">
        <v>23719500</v>
      </c>
    </row>
    <row r="159" spans="1:5" x14ac:dyDescent="0.35">
      <c r="A159" s="12" t="s">
        <v>31</v>
      </c>
      <c r="B159" s="12" t="s">
        <v>15</v>
      </c>
      <c r="C159" s="12" t="s">
        <v>6</v>
      </c>
      <c r="D159" s="12">
        <v>6578</v>
      </c>
      <c r="E159" s="12">
        <v>84838525</v>
      </c>
    </row>
    <row r="160" spans="1:5" x14ac:dyDescent="0.35">
      <c r="A160" s="12" t="s">
        <v>31</v>
      </c>
      <c r="B160" s="12" t="s">
        <v>15</v>
      </c>
      <c r="C160" s="12" t="s">
        <v>13</v>
      </c>
      <c r="D160" s="12">
        <v>12</v>
      </c>
      <c r="E160" s="12">
        <v>106825</v>
      </c>
    </row>
    <row r="161" spans="1:5" x14ac:dyDescent="0.35">
      <c r="A161" s="12" t="s">
        <v>31</v>
      </c>
      <c r="B161" s="12" t="s">
        <v>15</v>
      </c>
      <c r="C161" s="12" t="s">
        <v>14</v>
      </c>
      <c r="D161" s="12">
        <v>34</v>
      </c>
      <c r="E161" s="12">
        <v>211850</v>
      </c>
    </row>
    <row r="162" spans="1:5" x14ac:dyDescent="0.35">
      <c r="A162" s="12" t="s">
        <v>31</v>
      </c>
      <c r="B162" s="12" t="s">
        <v>15</v>
      </c>
      <c r="C162" s="12" t="s">
        <v>8</v>
      </c>
      <c r="D162" s="12">
        <v>6965</v>
      </c>
      <c r="E162" s="12">
        <v>71807500</v>
      </c>
    </row>
    <row r="163" spans="1:5" x14ac:dyDescent="0.35">
      <c r="A163" s="12" t="s">
        <v>31</v>
      </c>
      <c r="B163" s="12" t="s">
        <v>15</v>
      </c>
      <c r="C163" s="12" t="s">
        <v>9</v>
      </c>
      <c r="D163" s="12">
        <v>61</v>
      </c>
      <c r="E163" s="12">
        <v>921850</v>
      </c>
    </row>
    <row r="164" spans="1:5" x14ac:dyDescent="0.35">
      <c r="A164" s="12" t="s">
        <v>31</v>
      </c>
      <c r="B164" s="12" t="s">
        <v>15</v>
      </c>
      <c r="C164" s="12" t="s">
        <v>10</v>
      </c>
      <c r="D164" s="12">
        <v>26</v>
      </c>
      <c r="E164" s="12">
        <v>452925</v>
      </c>
    </row>
    <row r="165" spans="1:5" x14ac:dyDescent="0.35">
      <c r="A165" s="12" t="s">
        <v>31</v>
      </c>
      <c r="B165" s="12" t="s">
        <v>15</v>
      </c>
      <c r="C165" s="12" t="s">
        <v>11</v>
      </c>
      <c r="D165" s="12">
        <v>164</v>
      </c>
      <c r="E165" s="12">
        <v>2542275</v>
      </c>
    </row>
    <row r="166" spans="1:5" x14ac:dyDescent="0.35">
      <c r="A166" s="12" t="s">
        <v>32</v>
      </c>
      <c r="B166" s="12" t="s">
        <v>4</v>
      </c>
      <c r="C166" s="12" t="s">
        <v>5</v>
      </c>
      <c r="D166" s="12">
        <v>968</v>
      </c>
      <c r="E166" s="12">
        <v>8975175</v>
      </c>
    </row>
    <row r="167" spans="1:5" x14ac:dyDescent="0.35">
      <c r="A167" s="12" t="s">
        <v>32</v>
      </c>
      <c r="B167" s="12" t="s">
        <v>4</v>
      </c>
      <c r="C167" s="12" t="s">
        <v>6</v>
      </c>
      <c r="D167" s="12">
        <v>2898</v>
      </c>
      <c r="E167" s="12">
        <v>26371950</v>
      </c>
    </row>
    <row r="168" spans="1:5" x14ac:dyDescent="0.35">
      <c r="A168" s="12" t="s">
        <v>32</v>
      </c>
      <c r="B168" s="12" t="s">
        <v>4</v>
      </c>
      <c r="C168" s="12" t="s">
        <v>13</v>
      </c>
      <c r="D168" s="12">
        <v>1</v>
      </c>
      <c r="E168" s="12">
        <v>2000</v>
      </c>
    </row>
    <row r="169" spans="1:5" x14ac:dyDescent="0.35">
      <c r="A169" s="12" t="s">
        <v>32</v>
      </c>
      <c r="B169" s="12" t="s">
        <v>4</v>
      </c>
      <c r="C169" s="12" t="s">
        <v>14</v>
      </c>
      <c r="D169" s="12">
        <v>5</v>
      </c>
      <c r="E169" s="12">
        <v>38225</v>
      </c>
    </row>
    <row r="170" spans="1:5" x14ac:dyDescent="0.35">
      <c r="A170" s="12" t="s">
        <v>32</v>
      </c>
      <c r="B170" s="12" t="s">
        <v>4</v>
      </c>
      <c r="C170" s="12" t="s">
        <v>8</v>
      </c>
      <c r="D170" s="12">
        <v>2302</v>
      </c>
      <c r="E170" s="12">
        <v>17231200</v>
      </c>
    </row>
    <row r="171" spans="1:5" x14ac:dyDescent="0.35">
      <c r="A171" s="12" t="s">
        <v>32</v>
      </c>
      <c r="B171" s="12" t="s">
        <v>4</v>
      </c>
      <c r="C171" s="12" t="s">
        <v>9</v>
      </c>
      <c r="D171" s="12">
        <v>24</v>
      </c>
      <c r="E171" s="12">
        <v>276750</v>
      </c>
    </row>
    <row r="172" spans="1:5" x14ac:dyDescent="0.35">
      <c r="A172" s="12" t="s">
        <v>32</v>
      </c>
      <c r="B172" s="12" t="s">
        <v>4</v>
      </c>
      <c r="C172" s="12" t="s">
        <v>10</v>
      </c>
      <c r="D172" s="12">
        <v>19</v>
      </c>
      <c r="E172" s="12">
        <v>184250</v>
      </c>
    </row>
    <row r="173" spans="1:5" x14ac:dyDescent="0.35">
      <c r="A173" s="12" t="s">
        <v>32</v>
      </c>
      <c r="B173" s="12" t="s">
        <v>4</v>
      </c>
      <c r="C173" s="12" t="s">
        <v>11</v>
      </c>
      <c r="D173" s="12">
        <v>75</v>
      </c>
      <c r="E173" s="12">
        <v>771150</v>
      </c>
    </row>
    <row r="174" spans="1:5" x14ac:dyDescent="0.35">
      <c r="A174" s="12" t="s">
        <v>32</v>
      </c>
      <c r="B174" s="12" t="s">
        <v>12</v>
      </c>
      <c r="C174" s="12" t="s">
        <v>5</v>
      </c>
      <c r="D174" s="12">
        <v>1139</v>
      </c>
      <c r="E174" s="12">
        <v>13050475</v>
      </c>
    </row>
    <row r="175" spans="1:5" x14ac:dyDescent="0.35">
      <c r="A175" s="12" t="s">
        <v>32</v>
      </c>
      <c r="B175" s="12" t="s">
        <v>12</v>
      </c>
      <c r="C175" s="12" t="s">
        <v>6</v>
      </c>
      <c r="D175" s="12">
        <v>4789</v>
      </c>
      <c r="E175" s="12">
        <v>52051325</v>
      </c>
    </row>
    <row r="176" spans="1:5" x14ac:dyDescent="0.35">
      <c r="A176" s="12" t="s">
        <v>32</v>
      </c>
      <c r="B176" s="12" t="s">
        <v>12</v>
      </c>
      <c r="C176" s="12" t="s">
        <v>7</v>
      </c>
      <c r="D176" s="12">
        <v>1</v>
      </c>
      <c r="E176" s="12">
        <v>7500</v>
      </c>
    </row>
    <row r="177" spans="1:5" x14ac:dyDescent="0.35">
      <c r="A177" s="12" t="s">
        <v>32</v>
      </c>
      <c r="B177" s="12" t="s">
        <v>12</v>
      </c>
      <c r="C177" s="12" t="s">
        <v>13</v>
      </c>
      <c r="D177" s="12">
        <v>11</v>
      </c>
      <c r="E177" s="12">
        <v>87125</v>
      </c>
    </row>
    <row r="178" spans="1:5" x14ac:dyDescent="0.35">
      <c r="A178" s="12" t="s">
        <v>32</v>
      </c>
      <c r="B178" s="12" t="s">
        <v>12</v>
      </c>
      <c r="C178" s="12" t="s">
        <v>14</v>
      </c>
      <c r="D178" s="12">
        <v>16</v>
      </c>
      <c r="E178" s="12">
        <v>86875</v>
      </c>
    </row>
    <row r="179" spans="1:5" x14ac:dyDescent="0.35">
      <c r="A179" s="12" t="s">
        <v>32</v>
      </c>
      <c r="B179" s="12" t="s">
        <v>12</v>
      </c>
      <c r="C179" s="12" t="s">
        <v>8</v>
      </c>
      <c r="D179" s="12">
        <v>5199</v>
      </c>
      <c r="E179" s="12">
        <v>49173325</v>
      </c>
    </row>
    <row r="180" spans="1:5" x14ac:dyDescent="0.35">
      <c r="A180" s="12" t="s">
        <v>32</v>
      </c>
      <c r="B180" s="12" t="s">
        <v>12</v>
      </c>
      <c r="C180" s="12" t="s">
        <v>9</v>
      </c>
      <c r="D180" s="12">
        <v>39</v>
      </c>
      <c r="E180" s="12">
        <v>561500</v>
      </c>
    </row>
    <row r="181" spans="1:5" x14ac:dyDescent="0.35">
      <c r="A181" s="12" t="s">
        <v>32</v>
      </c>
      <c r="B181" s="12" t="s">
        <v>12</v>
      </c>
      <c r="C181" s="12" t="s">
        <v>10</v>
      </c>
      <c r="D181" s="12">
        <v>17</v>
      </c>
      <c r="E181" s="12">
        <v>149325</v>
      </c>
    </row>
    <row r="182" spans="1:5" x14ac:dyDescent="0.35">
      <c r="A182" s="12" t="s">
        <v>32</v>
      </c>
      <c r="B182" s="12" t="s">
        <v>12</v>
      </c>
      <c r="C182" s="12" t="s">
        <v>11</v>
      </c>
      <c r="D182" s="12">
        <v>108</v>
      </c>
      <c r="E182" s="12">
        <v>1398450</v>
      </c>
    </row>
    <row r="183" spans="1:5" x14ac:dyDescent="0.35">
      <c r="A183" s="12" t="s">
        <v>32</v>
      </c>
      <c r="B183" s="12" t="s">
        <v>15</v>
      </c>
      <c r="C183" s="12" t="s">
        <v>5</v>
      </c>
      <c r="D183" s="12">
        <v>1184</v>
      </c>
      <c r="E183" s="12">
        <v>11569725</v>
      </c>
    </row>
    <row r="184" spans="1:5" x14ac:dyDescent="0.35">
      <c r="A184" s="12" t="s">
        <v>32</v>
      </c>
      <c r="B184" s="12" t="s">
        <v>15</v>
      </c>
      <c r="C184" s="12" t="s">
        <v>6</v>
      </c>
      <c r="D184" s="12">
        <v>4226</v>
      </c>
      <c r="E184" s="12">
        <v>40830000</v>
      </c>
    </row>
    <row r="185" spans="1:5" x14ac:dyDescent="0.35">
      <c r="A185" s="12" t="s">
        <v>32</v>
      </c>
      <c r="B185" s="12" t="s">
        <v>15</v>
      </c>
      <c r="C185" s="12" t="s">
        <v>13</v>
      </c>
      <c r="D185" s="12">
        <v>10</v>
      </c>
      <c r="E185" s="12">
        <v>53300</v>
      </c>
    </row>
    <row r="186" spans="1:5" x14ac:dyDescent="0.35">
      <c r="A186" s="12" t="s">
        <v>32</v>
      </c>
      <c r="B186" s="12" t="s">
        <v>15</v>
      </c>
      <c r="C186" s="12" t="s">
        <v>14</v>
      </c>
      <c r="D186" s="12">
        <v>15</v>
      </c>
      <c r="E186" s="12">
        <v>92900</v>
      </c>
    </row>
    <row r="187" spans="1:5" x14ac:dyDescent="0.35">
      <c r="A187" s="12" t="s">
        <v>32</v>
      </c>
      <c r="B187" s="12" t="s">
        <v>15</v>
      </c>
      <c r="C187" s="12" t="s">
        <v>8</v>
      </c>
      <c r="D187" s="12">
        <v>4231</v>
      </c>
      <c r="E187" s="12">
        <v>35200775</v>
      </c>
    </row>
    <row r="188" spans="1:5" x14ac:dyDescent="0.35">
      <c r="A188" s="12" t="s">
        <v>32</v>
      </c>
      <c r="B188" s="12" t="s">
        <v>15</v>
      </c>
      <c r="C188" s="12" t="s">
        <v>9</v>
      </c>
      <c r="D188" s="12">
        <v>58</v>
      </c>
      <c r="E188" s="12">
        <v>585525</v>
      </c>
    </row>
    <row r="189" spans="1:5" x14ac:dyDescent="0.35">
      <c r="A189" s="12" t="s">
        <v>32</v>
      </c>
      <c r="B189" s="12" t="s">
        <v>15</v>
      </c>
      <c r="C189" s="12" t="s">
        <v>10</v>
      </c>
      <c r="D189" s="12">
        <v>18</v>
      </c>
      <c r="E189" s="12">
        <v>153625</v>
      </c>
    </row>
    <row r="190" spans="1:5" x14ac:dyDescent="0.35">
      <c r="A190" s="12" t="s">
        <v>32</v>
      </c>
      <c r="B190" s="12" t="s">
        <v>15</v>
      </c>
      <c r="C190" s="12" t="s">
        <v>11</v>
      </c>
      <c r="D190" s="12">
        <v>135</v>
      </c>
      <c r="E190" s="12">
        <v>1524100</v>
      </c>
    </row>
    <row r="191" spans="1:5" x14ac:dyDescent="0.35">
      <c r="A191" s="12" t="s">
        <v>36</v>
      </c>
      <c r="B191" s="12" t="s">
        <v>4</v>
      </c>
      <c r="C191" s="12" t="s">
        <v>5</v>
      </c>
      <c r="D191" s="12">
        <v>525</v>
      </c>
      <c r="E191" s="12">
        <v>4577600</v>
      </c>
    </row>
    <row r="192" spans="1:5" x14ac:dyDescent="0.35">
      <c r="A192" s="12" t="s">
        <v>36</v>
      </c>
      <c r="B192" s="12" t="s">
        <v>4</v>
      </c>
      <c r="C192" s="12" t="s">
        <v>6</v>
      </c>
      <c r="D192" s="12">
        <v>1220</v>
      </c>
      <c r="E192" s="12">
        <v>10470025</v>
      </c>
    </row>
    <row r="193" spans="1:5" x14ac:dyDescent="0.35">
      <c r="A193" s="12" t="s">
        <v>36</v>
      </c>
      <c r="B193" s="12" t="s">
        <v>4</v>
      </c>
      <c r="C193" s="12" t="s">
        <v>7</v>
      </c>
      <c r="D193" s="12">
        <v>1</v>
      </c>
      <c r="E193" s="12">
        <v>2000</v>
      </c>
    </row>
    <row r="194" spans="1:5" x14ac:dyDescent="0.35">
      <c r="A194" s="12" t="s">
        <v>36</v>
      </c>
      <c r="B194" s="12" t="s">
        <v>4</v>
      </c>
      <c r="C194" s="12" t="s">
        <v>14</v>
      </c>
      <c r="D194" s="12">
        <v>1</v>
      </c>
      <c r="E194" s="12">
        <v>4000</v>
      </c>
    </row>
    <row r="195" spans="1:5" x14ac:dyDescent="0.35">
      <c r="A195" s="12" t="s">
        <v>36</v>
      </c>
      <c r="B195" s="12" t="s">
        <v>4</v>
      </c>
      <c r="C195" s="12" t="s">
        <v>8</v>
      </c>
      <c r="D195" s="12">
        <v>1112</v>
      </c>
      <c r="E195" s="12">
        <v>7673425</v>
      </c>
    </row>
    <row r="196" spans="1:5" x14ac:dyDescent="0.35">
      <c r="A196" s="12" t="s">
        <v>36</v>
      </c>
      <c r="B196" s="12" t="s">
        <v>4</v>
      </c>
      <c r="C196" s="12" t="s">
        <v>9</v>
      </c>
      <c r="D196" s="12">
        <v>20</v>
      </c>
      <c r="E196" s="12">
        <v>207850</v>
      </c>
    </row>
    <row r="197" spans="1:5" x14ac:dyDescent="0.35">
      <c r="A197" s="12" t="s">
        <v>36</v>
      </c>
      <c r="B197" s="12" t="s">
        <v>4</v>
      </c>
      <c r="C197" s="12" t="s">
        <v>10</v>
      </c>
      <c r="D197" s="12">
        <v>3</v>
      </c>
      <c r="E197" s="12">
        <v>85000</v>
      </c>
    </row>
    <row r="198" spans="1:5" x14ac:dyDescent="0.35">
      <c r="A198" s="12" t="s">
        <v>36</v>
      </c>
      <c r="B198" s="12" t="s">
        <v>4</v>
      </c>
      <c r="C198" s="12" t="s">
        <v>11</v>
      </c>
      <c r="D198" s="12">
        <v>39</v>
      </c>
      <c r="E198" s="12">
        <v>384825</v>
      </c>
    </row>
    <row r="199" spans="1:5" x14ac:dyDescent="0.35">
      <c r="A199" s="12" t="s">
        <v>36</v>
      </c>
      <c r="B199" s="12" t="s">
        <v>12</v>
      </c>
      <c r="C199" s="12" t="s">
        <v>5</v>
      </c>
      <c r="D199" s="12">
        <v>805</v>
      </c>
      <c r="E199" s="12">
        <v>7511450</v>
      </c>
    </row>
    <row r="200" spans="1:5" x14ac:dyDescent="0.35">
      <c r="A200" s="12" t="s">
        <v>36</v>
      </c>
      <c r="B200" s="12" t="s">
        <v>12</v>
      </c>
      <c r="C200" s="12" t="s">
        <v>6</v>
      </c>
      <c r="D200" s="12">
        <v>2656</v>
      </c>
      <c r="E200" s="12">
        <v>25902950</v>
      </c>
    </row>
    <row r="201" spans="1:5" x14ac:dyDescent="0.35">
      <c r="A201" s="12" t="s">
        <v>36</v>
      </c>
      <c r="B201" s="12" t="s">
        <v>12</v>
      </c>
      <c r="C201" s="12" t="s">
        <v>13</v>
      </c>
      <c r="D201" s="12">
        <v>13</v>
      </c>
      <c r="E201" s="12">
        <v>81825</v>
      </c>
    </row>
    <row r="202" spans="1:5" x14ac:dyDescent="0.35">
      <c r="A202" s="12" t="s">
        <v>36</v>
      </c>
      <c r="B202" s="12" t="s">
        <v>12</v>
      </c>
      <c r="C202" s="12" t="s">
        <v>14</v>
      </c>
      <c r="D202" s="12">
        <v>17</v>
      </c>
      <c r="E202" s="12">
        <v>106750</v>
      </c>
    </row>
    <row r="203" spans="1:5" x14ac:dyDescent="0.35">
      <c r="A203" s="12" t="s">
        <v>36</v>
      </c>
      <c r="B203" s="12" t="s">
        <v>12</v>
      </c>
      <c r="C203" s="12" t="s">
        <v>8</v>
      </c>
      <c r="D203" s="12">
        <v>3498</v>
      </c>
      <c r="E203" s="12">
        <v>27803575</v>
      </c>
    </row>
    <row r="204" spans="1:5" x14ac:dyDescent="0.35">
      <c r="A204" s="12" t="s">
        <v>36</v>
      </c>
      <c r="B204" s="12" t="s">
        <v>12</v>
      </c>
      <c r="C204" s="12" t="s">
        <v>9</v>
      </c>
      <c r="D204" s="12">
        <v>31</v>
      </c>
      <c r="E204" s="12">
        <v>341925</v>
      </c>
    </row>
    <row r="205" spans="1:5" x14ac:dyDescent="0.35">
      <c r="A205" s="12" t="s">
        <v>36</v>
      </c>
      <c r="B205" s="12" t="s">
        <v>12</v>
      </c>
      <c r="C205" s="12" t="s">
        <v>10</v>
      </c>
      <c r="D205" s="12">
        <v>13</v>
      </c>
      <c r="E205" s="12">
        <v>148750</v>
      </c>
    </row>
    <row r="206" spans="1:5" x14ac:dyDescent="0.35">
      <c r="A206" s="12" t="s">
        <v>36</v>
      </c>
      <c r="B206" s="12" t="s">
        <v>12</v>
      </c>
      <c r="C206" s="12" t="s">
        <v>11</v>
      </c>
      <c r="D206" s="12">
        <v>89</v>
      </c>
      <c r="E206" s="12">
        <v>905150</v>
      </c>
    </row>
    <row r="207" spans="1:5" x14ac:dyDescent="0.35">
      <c r="A207" s="12" t="s">
        <v>36</v>
      </c>
      <c r="B207" s="12" t="s">
        <v>15</v>
      </c>
      <c r="C207" s="12" t="s">
        <v>5</v>
      </c>
      <c r="D207" s="12">
        <v>820</v>
      </c>
      <c r="E207" s="12">
        <v>7174625</v>
      </c>
    </row>
    <row r="208" spans="1:5" x14ac:dyDescent="0.35">
      <c r="A208" s="12" t="s">
        <v>36</v>
      </c>
      <c r="B208" s="12" t="s">
        <v>15</v>
      </c>
      <c r="C208" s="12" t="s">
        <v>6</v>
      </c>
      <c r="D208" s="12">
        <v>2023</v>
      </c>
      <c r="E208" s="12">
        <v>17648675</v>
      </c>
    </row>
    <row r="209" spans="1:5" x14ac:dyDescent="0.35">
      <c r="A209" s="12" t="s">
        <v>36</v>
      </c>
      <c r="B209" s="12" t="s">
        <v>15</v>
      </c>
      <c r="C209" s="12" t="s">
        <v>13</v>
      </c>
      <c r="D209" s="12">
        <v>2</v>
      </c>
      <c r="E209" s="12">
        <v>10750</v>
      </c>
    </row>
    <row r="210" spans="1:5" x14ac:dyDescent="0.35">
      <c r="A210" s="12" t="s">
        <v>36</v>
      </c>
      <c r="B210" s="12" t="s">
        <v>15</v>
      </c>
      <c r="C210" s="12" t="s">
        <v>14</v>
      </c>
      <c r="D210" s="12">
        <v>13</v>
      </c>
      <c r="E210" s="12">
        <v>67825</v>
      </c>
    </row>
    <row r="211" spans="1:5" x14ac:dyDescent="0.35">
      <c r="A211" s="12" t="s">
        <v>36</v>
      </c>
      <c r="B211" s="12" t="s">
        <v>15</v>
      </c>
      <c r="C211" s="12" t="s">
        <v>8</v>
      </c>
      <c r="D211" s="12">
        <v>2412</v>
      </c>
      <c r="E211" s="12">
        <v>17275600</v>
      </c>
    </row>
    <row r="212" spans="1:5" x14ac:dyDescent="0.35">
      <c r="A212" s="12" t="s">
        <v>36</v>
      </c>
      <c r="B212" s="12" t="s">
        <v>15</v>
      </c>
      <c r="C212" s="12" t="s">
        <v>9</v>
      </c>
      <c r="D212" s="12">
        <v>23</v>
      </c>
      <c r="E212" s="12">
        <v>214700</v>
      </c>
    </row>
    <row r="213" spans="1:5" x14ac:dyDescent="0.35">
      <c r="A213" s="12" t="s">
        <v>36</v>
      </c>
      <c r="B213" s="12" t="s">
        <v>15</v>
      </c>
      <c r="C213" s="12" t="s">
        <v>10</v>
      </c>
      <c r="D213" s="12">
        <v>8</v>
      </c>
      <c r="E213" s="12">
        <v>56725</v>
      </c>
    </row>
    <row r="214" spans="1:5" x14ac:dyDescent="0.35">
      <c r="A214" s="12" t="s">
        <v>36</v>
      </c>
      <c r="B214" s="12" t="s">
        <v>15</v>
      </c>
      <c r="C214" s="12" t="s">
        <v>11</v>
      </c>
      <c r="D214" s="12">
        <v>59</v>
      </c>
      <c r="E214" s="12">
        <v>587675</v>
      </c>
    </row>
    <row r="215" spans="1:5" x14ac:dyDescent="0.35">
      <c r="A215" s="12" t="s">
        <v>30</v>
      </c>
      <c r="B215" s="12" t="s">
        <v>4</v>
      </c>
      <c r="C215" s="12" t="s">
        <v>5</v>
      </c>
      <c r="D215" s="12">
        <v>3979</v>
      </c>
      <c r="E215" s="12">
        <v>42507500</v>
      </c>
    </row>
    <row r="216" spans="1:5" x14ac:dyDescent="0.35">
      <c r="A216" s="12" t="s">
        <v>30</v>
      </c>
      <c r="B216" s="12" t="s">
        <v>4</v>
      </c>
      <c r="C216" s="12" t="s">
        <v>6</v>
      </c>
      <c r="D216" s="12">
        <v>13520</v>
      </c>
      <c r="E216" s="12">
        <v>139671175</v>
      </c>
    </row>
    <row r="217" spans="1:5" x14ac:dyDescent="0.35">
      <c r="A217" s="12" t="s">
        <v>30</v>
      </c>
      <c r="B217" s="12" t="s">
        <v>4</v>
      </c>
      <c r="C217" s="12" t="s">
        <v>13</v>
      </c>
      <c r="D217" s="12">
        <v>9</v>
      </c>
      <c r="E217" s="12">
        <v>54600</v>
      </c>
    </row>
    <row r="218" spans="1:5" x14ac:dyDescent="0.35">
      <c r="A218" s="12" t="s">
        <v>30</v>
      </c>
      <c r="B218" s="12" t="s">
        <v>4</v>
      </c>
      <c r="C218" s="12" t="s">
        <v>14</v>
      </c>
      <c r="D218" s="12">
        <v>14</v>
      </c>
      <c r="E218" s="12">
        <v>59650</v>
      </c>
    </row>
    <row r="219" spans="1:5" x14ac:dyDescent="0.35">
      <c r="A219" s="12" t="s">
        <v>30</v>
      </c>
      <c r="B219" s="12" t="s">
        <v>4</v>
      </c>
      <c r="C219" s="12" t="s">
        <v>8</v>
      </c>
      <c r="D219" s="12">
        <v>10492</v>
      </c>
      <c r="E219" s="12">
        <v>87840825</v>
      </c>
    </row>
    <row r="220" spans="1:5" x14ac:dyDescent="0.35">
      <c r="A220" s="12" t="s">
        <v>30</v>
      </c>
      <c r="B220" s="12" t="s">
        <v>4</v>
      </c>
      <c r="C220" s="12" t="s">
        <v>9</v>
      </c>
      <c r="D220" s="12">
        <v>143</v>
      </c>
      <c r="E220" s="12">
        <v>1989925</v>
      </c>
    </row>
    <row r="221" spans="1:5" x14ac:dyDescent="0.35">
      <c r="A221" s="12" t="s">
        <v>30</v>
      </c>
      <c r="B221" s="12" t="s">
        <v>4</v>
      </c>
      <c r="C221" s="12" t="s">
        <v>10</v>
      </c>
      <c r="D221" s="12">
        <v>59</v>
      </c>
      <c r="E221" s="12">
        <v>528075</v>
      </c>
    </row>
    <row r="222" spans="1:5" x14ac:dyDescent="0.35">
      <c r="A222" s="12" t="s">
        <v>30</v>
      </c>
      <c r="B222" s="12" t="s">
        <v>4</v>
      </c>
      <c r="C222" s="12" t="s">
        <v>11</v>
      </c>
      <c r="D222" s="12">
        <v>404</v>
      </c>
      <c r="E222" s="12">
        <v>4974475</v>
      </c>
    </row>
    <row r="223" spans="1:5" x14ac:dyDescent="0.35">
      <c r="A223" s="12" t="s">
        <v>30</v>
      </c>
      <c r="B223" s="12" t="s">
        <v>12</v>
      </c>
      <c r="C223" s="12" t="s">
        <v>5</v>
      </c>
      <c r="D223" s="12">
        <v>5951</v>
      </c>
      <c r="E223" s="12">
        <v>72240275</v>
      </c>
    </row>
    <row r="224" spans="1:5" x14ac:dyDescent="0.35">
      <c r="A224" s="12" t="s">
        <v>30</v>
      </c>
      <c r="B224" s="12" t="s">
        <v>12</v>
      </c>
      <c r="C224" s="12" t="s">
        <v>6</v>
      </c>
      <c r="D224" s="12">
        <v>27360</v>
      </c>
      <c r="E224" s="12">
        <v>326887725</v>
      </c>
    </row>
    <row r="225" spans="1:5" x14ac:dyDescent="0.35">
      <c r="A225" s="12" t="s">
        <v>30</v>
      </c>
      <c r="B225" s="12" t="s">
        <v>12</v>
      </c>
      <c r="C225" s="12" t="s">
        <v>7</v>
      </c>
      <c r="D225" s="12">
        <v>1</v>
      </c>
      <c r="E225" s="12">
        <v>1000</v>
      </c>
    </row>
    <row r="226" spans="1:5" x14ac:dyDescent="0.35">
      <c r="A226" s="12" t="s">
        <v>30</v>
      </c>
      <c r="B226" s="12" t="s">
        <v>12</v>
      </c>
      <c r="C226" s="12" t="s">
        <v>13</v>
      </c>
      <c r="D226" s="12">
        <v>63</v>
      </c>
      <c r="E226" s="12">
        <v>461000</v>
      </c>
    </row>
    <row r="227" spans="1:5" x14ac:dyDescent="0.35">
      <c r="A227" s="12" t="s">
        <v>30</v>
      </c>
      <c r="B227" s="12" t="s">
        <v>12</v>
      </c>
      <c r="C227" s="12" t="s">
        <v>14</v>
      </c>
      <c r="D227" s="12">
        <v>182</v>
      </c>
      <c r="E227" s="12">
        <v>1140500</v>
      </c>
    </row>
    <row r="228" spans="1:5" x14ac:dyDescent="0.35">
      <c r="A228" s="12" t="s">
        <v>30</v>
      </c>
      <c r="B228" s="12" t="s">
        <v>12</v>
      </c>
      <c r="C228" s="12" t="s">
        <v>8</v>
      </c>
      <c r="D228" s="12">
        <v>27569</v>
      </c>
      <c r="E228" s="12">
        <v>278330125</v>
      </c>
    </row>
    <row r="229" spans="1:5" x14ac:dyDescent="0.35">
      <c r="A229" s="12" t="s">
        <v>30</v>
      </c>
      <c r="B229" s="12" t="s">
        <v>12</v>
      </c>
      <c r="C229" s="12" t="s">
        <v>9</v>
      </c>
      <c r="D229" s="12">
        <v>254</v>
      </c>
      <c r="E229" s="12">
        <v>3751575</v>
      </c>
    </row>
    <row r="230" spans="1:5" x14ac:dyDescent="0.35">
      <c r="A230" s="12" t="s">
        <v>30</v>
      </c>
      <c r="B230" s="12" t="s">
        <v>12</v>
      </c>
      <c r="C230" s="12" t="s">
        <v>10</v>
      </c>
      <c r="D230" s="12">
        <v>114</v>
      </c>
      <c r="E230" s="12">
        <v>1554450</v>
      </c>
    </row>
    <row r="231" spans="1:5" x14ac:dyDescent="0.35">
      <c r="A231" s="12" t="s">
        <v>30</v>
      </c>
      <c r="B231" s="12" t="s">
        <v>12</v>
      </c>
      <c r="C231" s="12" t="s">
        <v>11</v>
      </c>
      <c r="D231" s="12">
        <v>717</v>
      </c>
      <c r="E231" s="12">
        <v>10804775</v>
      </c>
    </row>
    <row r="232" spans="1:5" x14ac:dyDescent="0.35">
      <c r="A232" s="12" t="s">
        <v>30</v>
      </c>
      <c r="B232" s="12" t="s">
        <v>15</v>
      </c>
      <c r="C232" s="12" t="s">
        <v>5</v>
      </c>
      <c r="D232" s="12">
        <v>5934</v>
      </c>
      <c r="E232" s="12">
        <v>65909475</v>
      </c>
    </row>
    <row r="233" spans="1:5" x14ac:dyDescent="0.35">
      <c r="A233" s="12" t="s">
        <v>30</v>
      </c>
      <c r="B233" s="12" t="s">
        <v>15</v>
      </c>
      <c r="C233" s="12" t="s">
        <v>6</v>
      </c>
      <c r="D233" s="12">
        <v>20666</v>
      </c>
      <c r="E233" s="12">
        <v>221287625</v>
      </c>
    </row>
    <row r="234" spans="1:5" x14ac:dyDescent="0.35">
      <c r="A234" s="12" t="s">
        <v>30</v>
      </c>
      <c r="B234" s="12" t="s">
        <v>15</v>
      </c>
      <c r="C234" s="12" t="s">
        <v>7</v>
      </c>
      <c r="D234" s="12">
        <v>2</v>
      </c>
      <c r="E234" s="12">
        <v>23500</v>
      </c>
    </row>
    <row r="235" spans="1:5" x14ac:dyDescent="0.35">
      <c r="A235" s="12" t="s">
        <v>30</v>
      </c>
      <c r="B235" s="12" t="s">
        <v>15</v>
      </c>
      <c r="C235" s="12" t="s">
        <v>13</v>
      </c>
      <c r="D235" s="12">
        <v>49</v>
      </c>
      <c r="E235" s="12">
        <v>411375</v>
      </c>
    </row>
    <row r="236" spans="1:5" x14ac:dyDescent="0.35">
      <c r="A236" s="12" t="s">
        <v>30</v>
      </c>
      <c r="B236" s="12" t="s">
        <v>15</v>
      </c>
      <c r="C236" s="12" t="s">
        <v>14</v>
      </c>
      <c r="D236" s="12">
        <v>107</v>
      </c>
      <c r="E236" s="12">
        <v>716000</v>
      </c>
    </row>
    <row r="237" spans="1:5" x14ac:dyDescent="0.35">
      <c r="A237" s="12" t="s">
        <v>30</v>
      </c>
      <c r="B237" s="12" t="s">
        <v>15</v>
      </c>
      <c r="C237" s="12" t="s">
        <v>8</v>
      </c>
      <c r="D237" s="12">
        <v>21009</v>
      </c>
      <c r="E237" s="12">
        <v>189486550</v>
      </c>
    </row>
    <row r="238" spans="1:5" x14ac:dyDescent="0.35">
      <c r="A238" s="12" t="s">
        <v>30</v>
      </c>
      <c r="B238" s="12" t="s">
        <v>15</v>
      </c>
      <c r="C238" s="12" t="s">
        <v>9</v>
      </c>
      <c r="D238" s="12">
        <v>180</v>
      </c>
      <c r="E238" s="12">
        <v>2207325</v>
      </c>
    </row>
    <row r="239" spans="1:5" x14ac:dyDescent="0.35">
      <c r="A239" s="12" t="s">
        <v>30</v>
      </c>
      <c r="B239" s="12" t="s">
        <v>15</v>
      </c>
      <c r="C239" s="12" t="s">
        <v>10</v>
      </c>
      <c r="D239" s="12">
        <v>109</v>
      </c>
      <c r="E239" s="12">
        <v>1402825</v>
      </c>
    </row>
    <row r="240" spans="1:5" x14ac:dyDescent="0.35">
      <c r="A240" s="12" t="s">
        <v>30</v>
      </c>
      <c r="B240" s="12" t="s">
        <v>15</v>
      </c>
      <c r="C240" s="12" t="s">
        <v>11</v>
      </c>
      <c r="D240" s="12">
        <v>553</v>
      </c>
      <c r="E240" s="12">
        <v>7241025</v>
      </c>
    </row>
    <row r="241" spans="1:5" x14ac:dyDescent="0.35">
      <c r="A241" s="12" t="s">
        <v>39</v>
      </c>
      <c r="B241" s="12" t="s">
        <v>4</v>
      </c>
      <c r="C241" s="12" t="s">
        <v>5</v>
      </c>
      <c r="D241" s="12">
        <v>40</v>
      </c>
      <c r="E241" s="12">
        <v>374600</v>
      </c>
    </row>
    <row r="242" spans="1:5" x14ac:dyDescent="0.35">
      <c r="A242" s="12" t="s">
        <v>39</v>
      </c>
      <c r="B242" s="12" t="s">
        <v>4</v>
      </c>
      <c r="C242" s="12" t="s">
        <v>6</v>
      </c>
      <c r="D242" s="12">
        <v>111</v>
      </c>
      <c r="E242" s="12">
        <v>1213700</v>
      </c>
    </row>
    <row r="243" spans="1:5" x14ac:dyDescent="0.35">
      <c r="A243" s="12" t="s">
        <v>39</v>
      </c>
      <c r="B243" s="12" t="s">
        <v>4</v>
      </c>
      <c r="C243" s="12" t="s">
        <v>8</v>
      </c>
      <c r="D243" s="12">
        <v>110</v>
      </c>
      <c r="E243" s="12">
        <v>989525</v>
      </c>
    </row>
    <row r="244" spans="1:5" x14ac:dyDescent="0.35">
      <c r="A244" s="12" t="s">
        <v>39</v>
      </c>
      <c r="B244" s="12" t="s">
        <v>4</v>
      </c>
      <c r="C244" s="12" t="s">
        <v>9</v>
      </c>
      <c r="D244" s="12">
        <v>1</v>
      </c>
      <c r="E244" s="12">
        <v>18000</v>
      </c>
    </row>
    <row r="245" spans="1:5" x14ac:dyDescent="0.35">
      <c r="A245" s="12" t="s">
        <v>39</v>
      </c>
      <c r="B245" s="12" t="s">
        <v>4</v>
      </c>
      <c r="C245" s="12" t="s">
        <v>10</v>
      </c>
      <c r="D245" s="12">
        <v>1</v>
      </c>
      <c r="E245" s="12">
        <v>20000</v>
      </c>
    </row>
    <row r="246" spans="1:5" x14ac:dyDescent="0.35">
      <c r="A246" s="12" t="s">
        <v>39</v>
      </c>
      <c r="B246" s="12" t="s">
        <v>12</v>
      </c>
      <c r="C246" s="12" t="s">
        <v>5</v>
      </c>
      <c r="D246" s="12">
        <v>95</v>
      </c>
      <c r="E246" s="12">
        <v>1011700</v>
      </c>
    </row>
    <row r="247" spans="1:5" x14ac:dyDescent="0.35">
      <c r="A247" s="12" t="s">
        <v>39</v>
      </c>
      <c r="B247" s="12" t="s">
        <v>12</v>
      </c>
      <c r="C247" s="12" t="s">
        <v>6</v>
      </c>
      <c r="D247" s="12">
        <v>225</v>
      </c>
      <c r="E247" s="12">
        <v>3058900</v>
      </c>
    </row>
    <row r="248" spans="1:5" x14ac:dyDescent="0.35">
      <c r="A248" s="12" t="s">
        <v>39</v>
      </c>
      <c r="B248" s="12" t="s">
        <v>12</v>
      </c>
      <c r="C248" s="12" t="s">
        <v>14</v>
      </c>
      <c r="D248" s="12">
        <v>2</v>
      </c>
      <c r="E248" s="12">
        <v>12000</v>
      </c>
    </row>
    <row r="249" spans="1:5" x14ac:dyDescent="0.35">
      <c r="A249" s="12" t="s">
        <v>39</v>
      </c>
      <c r="B249" s="12" t="s">
        <v>12</v>
      </c>
      <c r="C249" s="12" t="s">
        <v>8</v>
      </c>
      <c r="D249" s="12">
        <v>344</v>
      </c>
      <c r="E249" s="12">
        <v>3559600</v>
      </c>
    </row>
    <row r="250" spans="1:5" x14ac:dyDescent="0.35">
      <c r="A250" s="12" t="s">
        <v>39</v>
      </c>
      <c r="B250" s="12" t="s">
        <v>12</v>
      </c>
      <c r="C250" s="12" t="s">
        <v>11</v>
      </c>
      <c r="D250" s="12">
        <v>7</v>
      </c>
      <c r="E250" s="12">
        <v>110900</v>
      </c>
    </row>
    <row r="251" spans="1:5" x14ac:dyDescent="0.35">
      <c r="A251" s="12" t="s">
        <v>39</v>
      </c>
      <c r="B251" s="12" t="s">
        <v>15</v>
      </c>
      <c r="C251" s="12" t="s">
        <v>5</v>
      </c>
      <c r="D251" s="12">
        <v>81</v>
      </c>
      <c r="E251" s="12">
        <v>953775</v>
      </c>
    </row>
    <row r="252" spans="1:5" x14ac:dyDescent="0.35">
      <c r="A252" s="12" t="s">
        <v>39</v>
      </c>
      <c r="B252" s="12" t="s">
        <v>15</v>
      </c>
      <c r="C252" s="12" t="s">
        <v>6</v>
      </c>
      <c r="D252" s="12">
        <v>175</v>
      </c>
      <c r="E252" s="12">
        <v>1829125</v>
      </c>
    </row>
    <row r="253" spans="1:5" x14ac:dyDescent="0.35">
      <c r="A253" s="12" t="s">
        <v>39</v>
      </c>
      <c r="B253" s="12" t="s">
        <v>15</v>
      </c>
      <c r="C253" s="12" t="s">
        <v>13</v>
      </c>
      <c r="D253" s="12">
        <v>1</v>
      </c>
      <c r="E253" s="12">
        <v>5000</v>
      </c>
    </row>
    <row r="254" spans="1:5" x14ac:dyDescent="0.35">
      <c r="A254" s="12" t="s">
        <v>39</v>
      </c>
      <c r="B254" s="12" t="s">
        <v>15</v>
      </c>
      <c r="C254" s="12" t="s">
        <v>8</v>
      </c>
      <c r="D254" s="12">
        <v>241</v>
      </c>
      <c r="E254" s="12">
        <v>2231525</v>
      </c>
    </row>
    <row r="255" spans="1:5" x14ac:dyDescent="0.35">
      <c r="A255" s="12" t="s">
        <v>39</v>
      </c>
      <c r="B255" s="12" t="s">
        <v>15</v>
      </c>
      <c r="C255" s="12" t="s">
        <v>9</v>
      </c>
      <c r="D255" s="12">
        <v>2</v>
      </c>
      <c r="E255" s="12">
        <v>7350</v>
      </c>
    </row>
    <row r="256" spans="1:5" x14ac:dyDescent="0.35">
      <c r="A256" s="12" t="s">
        <v>39</v>
      </c>
      <c r="B256" s="12" t="s">
        <v>15</v>
      </c>
      <c r="C256" s="12" t="s">
        <v>10</v>
      </c>
      <c r="D256" s="12">
        <v>1</v>
      </c>
      <c r="E256" s="12">
        <v>18200</v>
      </c>
    </row>
    <row r="257" spans="1:5" x14ac:dyDescent="0.35">
      <c r="A257" s="12" t="s">
        <v>39</v>
      </c>
      <c r="B257" s="12" t="s">
        <v>15</v>
      </c>
      <c r="C257" s="12" t="s">
        <v>11</v>
      </c>
      <c r="D257" s="12">
        <v>8</v>
      </c>
      <c r="E257" s="12">
        <v>130000</v>
      </c>
    </row>
    <row r="258" spans="1:5" x14ac:dyDescent="0.35">
      <c r="A258" s="12" t="s">
        <v>28</v>
      </c>
      <c r="B258" s="12" t="s">
        <v>4</v>
      </c>
      <c r="C258" s="12" t="s">
        <v>5</v>
      </c>
      <c r="D258" s="12">
        <v>670</v>
      </c>
      <c r="E258" s="12">
        <v>10157675</v>
      </c>
    </row>
    <row r="259" spans="1:5" x14ac:dyDescent="0.35">
      <c r="A259" s="12" t="s">
        <v>28</v>
      </c>
      <c r="B259" s="12" t="s">
        <v>4</v>
      </c>
      <c r="C259" s="12" t="s">
        <v>6</v>
      </c>
      <c r="D259" s="12">
        <v>1436</v>
      </c>
      <c r="E259" s="12">
        <v>22712175</v>
      </c>
    </row>
    <row r="260" spans="1:5" x14ac:dyDescent="0.35">
      <c r="A260" s="12" t="s">
        <v>28</v>
      </c>
      <c r="B260" s="12" t="s">
        <v>4</v>
      </c>
      <c r="C260" s="12" t="s">
        <v>13</v>
      </c>
      <c r="D260" s="12">
        <v>4</v>
      </c>
      <c r="E260" s="12">
        <v>77725</v>
      </c>
    </row>
    <row r="261" spans="1:5" x14ac:dyDescent="0.35">
      <c r="A261" s="12" t="s">
        <v>28</v>
      </c>
      <c r="B261" s="12" t="s">
        <v>4</v>
      </c>
      <c r="C261" s="12" t="s">
        <v>14</v>
      </c>
      <c r="D261" s="12">
        <v>2</v>
      </c>
      <c r="E261" s="12">
        <v>49000</v>
      </c>
    </row>
    <row r="262" spans="1:5" x14ac:dyDescent="0.35">
      <c r="A262" s="12" t="s">
        <v>28</v>
      </c>
      <c r="B262" s="12" t="s">
        <v>4</v>
      </c>
      <c r="C262" s="12" t="s">
        <v>8</v>
      </c>
      <c r="D262" s="12">
        <v>1179</v>
      </c>
      <c r="E262" s="12">
        <v>15364575</v>
      </c>
    </row>
    <row r="263" spans="1:5" x14ac:dyDescent="0.35">
      <c r="A263" s="12" t="s">
        <v>28</v>
      </c>
      <c r="B263" s="12" t="s">
        <v>4</v>
      </c>
      <c r="C263" s="12" t="s">
        <v>9</v>
      </c>
      <c r="D263" s="12">
        <v>16</v>
      </c>
      <c r="E263" s="12">
        <v>321375</v>
      </c>
    </row>
    <row r="264" spans="1:5" x14ac:dyDescent="0.35">
      <c r="A264" s="12" t="s">
        <v>28</v>
      </c>
      <c r="B264" s="12" t="s">
        <v>4</v>
      </c>
      <c r="C264" s="12" t="s">
        <v>10</v>
      </c>
      <c r="D264" s="12">
        <v>11</v>
      </c>
      <c r="E264" s="12">
        <v>205750</v>
      </c>
    </row>
    <row r="265" spans="1:5" x14ac:dyDescent="0.35">
      <c r="A265" s="12" t="s">
        <v>28</v>
      </c>
      <c r="B265" s="12" t="s">
        <v>4</v>
      </c>
      <c r="C265" s="12" t="s">
        <v>11</v>
      </c>
      <c r="D265" s="12">
        <v>66</v>
      </c>
      <c r="E265" s="12">
        <v>1171500</v>
      </c>
    </row>
    <row r="266" spans="1:5" x14ac:dyDescent="0.35">
      <c r="A266" s="12" t="s">
        <v>28</v>
      </c>
      <c r="B266" s="12" t="s">
        <v>12</v>
      </c>
      <c r="C266" s="12" t="s">
        <v>5</v>
      </c>
      <c r="D266" s="12">
        <v>2251</v>
      </c>
      <c r="E266" s="12">
        <v>39743825</v>
      </c>
    </row>
    <row r="267" spans="1:5" x14ac:dyDescent="0.35">
      <c r="A267" s="12" t="s">
        <v>28</v>
      </c>
      <c r="B267" s="12" t="s">
        <v>12</v>
      </c>
      <c r="C267" s="12" t="s">
        <v>6</v>
      </c>
      <c r="D267" s="12">
        <v>4795</v>
      </c>
      <c r="E267" s="12">
        <v>90412225</v>
      </c>
    </row>
    <row r="268" spans="1:5" x14ac:dyDescent="0.35">
      <c r="A268" s="12" t="s">
        <v>28</v>
      </c>
      <c r="B268" s="12" t="s">
        <v>12</v>
      </c>
      <c r="C268" s="12" t="s">
        <v>13</v>
      </c>
      <c r="D268" s="12">
        <v>42</v>
      </c>
      <c r="E268" s="12">
        <v>580150</v>
      </c>
    </row>
    <row r="269" spans="1:5" x14ac:dyDescent="0.35">
      <c r="A269" s="12" t="s">
        <v>28</v>
      </c>
      <c r="B269" s="12" t="s">
        <v>12</v>
      </c>
      <c r="C269" s="12" t="s">
        <v>14</v>
      </c>
      <c r="D269" s="12">
        <v>56</v>
      </c>
      <c r="E269" s="12">
        <v>731625</v>
      </c>
    </row>
    <row r="270" spans="1:5" x14ac:dyDescent="0.35">
      <c r="A270" s="12" t="s">
        <v>28</v>
      </c>
      <c r="B270" s="12" t="s">
        <v>12</v>
      </c>
      <c r="C270" s="12" t="s">
        <v>8</v>
      </c>
      <c r="D270" s="12">
        <v>6107</v>
      </c>
      <c r="E270" s="12">
        <v>95854075</v>
      </c>
    </row>
    <row r="271" spans="1:5" x14ac:dyDescent="0.35">
      <c r="A271" s="12" t="s">
        <v>28</v>
      </c>
      <c r="B271" s="12" t="s">
        <v>12</v>
      </c>
      <c r="C271" s="12" t="s">
        <v>9</v>
      </c>
      <c r="D271" s="12">
        <v>70</v>
      </c>
      <c r="E271" s="12">
        <v>1473875</v>
      </c>
    </row>
    <row r="272" spans="1:5" x14ac:dyDescent="0.35">
      <c r="A272" s="12" t="s">
        <v>28</v>
      </c>
      <c r="B272" s="12" t="s">
        <v>12</v>
      </c>
      <c r="C272" s="12" t="s">
        <v>10</v>
      </c>
      <c r="D272" s="12">
        <v>31</v>
      </c>
      <c r="E272" s="12">
        <v>576850</v>
      </c>
    </row>
    <row r="273" spans="1:5" x14ac:dyDescent="0.35">
      <c r="A273" s="12" t="s">
        <v>28</v>
      </c>
      <c r="B273" s="12" t="s">
        <v>12</v>
      </c>
      <c r="C273" s="12" t="s">
        <v>11</v>
      </c>
      <c r="D273" s="12">
        <v>180</v>
      </c>
      <c r="E273" s="12">
        <v>3825975</v>
      </c>
    </row>
    <row r="274" spans="1:5" x14ac:dyDescent="0.35">
      <c r="A274" s="12" t="s">
        <v>28</v>
      </c>
      <c r="B274" s="12" t="s">
        <v>15</v>
      </c>
      <c r="C274" s="12" t="s">
        <v>5</v>
      </c>
      <c r="D274" s="12">
        <v>1544</v>
      </c>
      <c r="E274" s="12">
        <v>25955450</v>
      </c>
    </row>
    <row r="275" spans="1:5" x14ac:dyDescent="0.35">
      <c r="A275" s="12" t="s">
        <v>28</v>
      </c>
      <c r="B275" s="12" t="s">
        <v>15</v>
      </c>
      <c r="C275" s="12" t="s">
        <v>6</v>
      </c>
      <c r="D275" s="12">
        <v>2758</v>
      </c>
      <c r="E275" s="12">
        <v>45799675</v>
      </c>
    </row>
    <row r="276" spans="1:5" x14ac:dyDescent="0.35">
      <c r="A276" s="12" t="s">
        <v>28</v>
      </c>
      <c r="B276" s="12" t="s">
        <v>15</v>
      </c>
      <c r="C276" s="12" t="s">
        <v>13</v>
      </c>
      <c r="D276" s="12">
        <v>26</v>
      </c>
      <c r="E276" s="12">
        <v>425325</v>
      </c>
    </row>
    <row r="277" spans="1:5" x14ac:dyDescent="0.35">
      <c r="A277" s="12" t="s">
        <v>28</v>
      </c>
      <c r="B277" s="12" t="s">
        <v>15</v>
      </c>
      <c r="C277" s="12" t="s">
        <v>14</v>
      </c>
      <c r="D277" s="12">
        <v>31</v>
      </c>
      <c r="E277" s="12">
        <v>482675</v>
      </c>
    </row>
    <row r="278" spans="1:5" x14ac:dyDescent="0.35">
      <c r="A278" s="12" t="s">
        <v>28</v>
      </c>
      <c r="B278" s="12" t="s">
        <v>15</v>
      </c>
      <c r="C278" s="12" t="s">
        <v>8</v>
      </c>
      <c r="D278" s="12">
        <v>3259</v>
      </c>
      <c r="E278" s="12">
        <v>47234825</v>
      </c>
    </row>
    <row r="279" spans="1:5" x14ac:dyDescent="0.35">
      <c r="A279" s="12" t="s">
        <v>28</v>
      </c>
      <c r="B279" s="12" t="s">
        <v>15</v>
      </c>
      <c r="C279" s="12" t="s">
        <v>9</v>
      </c>
      <c r="D279" s="12">
        <v>31</v>
      </c>
      <c r="E279" s="12">
        <v>516325</v>
      </c>
    </row>
    <row r="280" spans="1:5" x14ac:dyDescent="0.35">
      <c r="A280" s="12" t="s">
        <v>28</v>
      </c>
      <c r="B280" s="12" t="s">
        <v>15</v>
      </c>
      <c r="C280" s="12" t="s">
        <v>10</v>
      </c>
      <c r="D280" s="12">
        <v>15</v>
      </c>
      <c r="E280" s="12">
        <v>266425</v>
      </c>
    </row>
    <row r="281" spans="1:5" x14ac:dyDescent="0.35">
      <c r="A281" s="12" t="s">
        <v>28</v>
      </c>
      <c r="B281" s="12" t="s">
        <v>15</v>
      </c>
      <c r="C281" s="12" t="s">
        <v>11</v>
      </c>
      <c r="D281" s="12">
        <v>109</v>
      </c>
      <c r="E281" s="12">
        <v>2014600</v>
      </c>
    </row>
    <row r="282" spans="1:5" x14ac:dyDescent="0.35">
      <c r="A282" s="12" t="s">
        <v>37</v>
      </c>
      <c r="B282" s="12" t="s">
        <v>4</v>
      </c>
      <c r="C282" s="12" t="s">
        <v>5</v>
      </c>
      <c r="D282" s="12">
        <v>458</v>
      </c>
      <c r="E282" s="12">
        <v>3348475</v>
      </c>
    </row>
    <row r="283" spans="1:5" x14ac:dyDescent="0.35">
      <c r="A283" s="12" t="s">
        <v>37</v>
      </c>
      <c r="B283" s="12" t="s">
        <v>4</v>
      </c>
      <c r="C283" s="12" t="s">
        <v>6</v>
      </c>
      <c r="D283" s="12">
        <v>1790</v>
      </c>
      <c r="E283" s="12">
        <v>10883225</v>
      </c>
    </row>
    <row r="284" spans="1:5" x14ac:dyDescent="0.35">
      <c r="A284" s="12" t="s">
        <v>37</v>
      </c>
      <c r="B284" s="12" t="s">
        <v>4</v>
      </c>
      <c r="C284" s="12" t="s">
        <v>8</v>
      </c>
      <c r="D284" s="12">
        <v>1393</v>
      </c>
      <c r="E284" s="12">
        <v>7199700</v>
      </c>
    </row>
    <row r="285" spans="1:5" x14ac:dyDescent="0.35">
      <c r="A285" s="12" t="s">
        <v>37</v>
      </c>
      <c r="B285" s="12" t="s">
        <v>4</v>
      </c>
      <c r="C285" s="12" t="s">
        <v>9</v>
      </c>
      <c r="D285" s="12">
        <v>9</v>
      </c>
      <c r="E285" s="12">
        <v>54200</v>
      </c>
    </row>
    <row r="286" spans="1:5" x14ac:dyDescent="0.35">
      <c r="A286" s="12" t="s">
        <v>37</v>
      </c>
      <c r="B286" s="12" t="s">
        <v>4</v>
      </c>
      <c r="C286" s="12" t="s">
        <v>10</v>
      </c>
      <c r="D286" s="12">
        <v>6</v>
      </c>
      <c r="E286" s="12">
        <v>73000</v>
      </c>
    </row>
    <row r="287" spans="1:5" x14ac:dyDescent="0.35">
      <c r="A287" s="12" t="s">
        <v>37</v>
      </c>
      <c r="B287" s="12" t="s">
        <v>4</v>
      </c>
      <c r="C287" s="12" t="s">
        <v>11</v>
      </c>
      <c r="D287" s="12">
        <v>45</v>
      </c>
      <c r="E287" s="12">
        <v>356475</v>
      </c>
    </row>
    <row r="288" spans="1:5" x14ac:dyDescent="0.35">
      <c r="A288" s="12" t="s">
        <v>37</v>
      </c>
      <c r="B288" s="12" t="s">
        <v>12</v>
      </c>
      <c r="C288" s="12" t="s">
        <v>5</v>
      </c>
      <c r="D288" s="12">
        <v>592</v>
      </c>
      <c r="E288" s="12">
        <v>5644100</v>
      </c>
    </row>
    <row r="289" spans="1:5" x14ac:dyDescent="0.35">
      <c r="A289" s="12" t="s">
        <v>37</v>
      </c>
      <c r="B289" s="12" t="s">
        <v>12</v>
      </c>
      <c r="C289" s="12" t="s">
        <v>6</v>
      </c>
      <c r="D289" s="12">
        <v>2475</v>
      </c>
      <c r="E289" s="12">
        <v>17622500</v>
      </c>
    </row>
    <row r="290" spans="1:5" x14ac:dyDescent="0.35">
      <c r="A290" s="12" t="s">
        <v>37</v>
      </c>
      <c r="B290" s="12" t="s">
        <v>12</v>
      </c>
      <c r="C290" s="12" t="s">
        <v>13</v>
      </c>
      <c r="D290" s="12">
        <v>3</v>
      </c>
      <c r="E290" s="12">
        <v>17100</v>
      </c>
    </row>
    <row r="291" spans="1:5" x14ac:dyDescent="0.35">
      <c r="A291" s="12" t="s">
        <v>37</v>
      </c>
      <c r="B291" s="12" t="s">
        <v>12</v>
      </c>
      <c r="C291" s="12" t="s">
        <v>14</v>
      </c>
      <c r="D291" s="12">
        <v>8</v>
      </c>
      <c r="E291" s="12">
        <v>37750</v>
      </c>
    </row>
    <row r="292" spans="1:5" x14ac:dyDescent="0.35">
      <c r="A292" s="12" t="s">
        <v>37</v>
      </c>
      <c r="B292" s="12" t="s">
        <v>12</v>
      </c>
      <c r="C292" s="12" t="s">
        <v>8</v>
      </c>
      <c r="D292" s="12">
        <v>3047</v>
      </c>
      <c r="E292" s="12">
        <v>19159100</v>
      </c>
    </row>
    <row r="293" spans="1:5" x14ac:dyDescent="0.35">
      <c r="A293" s="12" t="s">
        <v>37</v>
      </c>
      <c r="B293" s="12" t="s">
        <v>12</v>
      </c>
      <c r="C293" s="12" t="s">
        <v>9</v>
      </c>
      <c r="D293" s="12">
        <v>16</v>
      </c>
      <c r="E293" s="12">
        <v>129075</v>
      </c>
    </row>
    <row r="294" spans="1:5" x14ac:dyDescent="0.35">
      <c r="A294" s="12" t="s">
        <v>37</v>
      </c>
      <c r="B294" s="12" t="s">
        <v>12</v>
      </c>
      <c r="C294" s="12" t="s">
        <v>10</v>
      </c>
      <c r="D294" s="12">
        <v>10</v>
      </c>
      <c r="E294" s="12">
        <v>57800</v>
      </c>
    </row>
    <row r="295" spans="1:5" x14ac:dyDescent="0.35">
      <c r="A295" s="12" t="s">
        <v>37</v>
      </c>
      <c r="B295" s="12" t="s">
        <v>12</v>
      </c>
      <c r="C295" s="12" t="s">
        <v>11</v>
      </c>
      <c r="D295" s="12">
        <v>71</v>
      </c>
      <c r="E295" s="12">
        <v>623575</v>
      </c>
    </row>
    <row r="296" spans="1:5" x14ac:dyDescent="0.35">
      <c r="A296" s="12" t="s">
        <v>37</v>
      </c>
      <c r="B296" s="12" t="s">
        <v>15</v>
      </c>
      <c r="C296" s="12" t="s">
        <v>5</v>
      </c>
      <c r="D296" s="12">
        <v>630</v>
      </c>
      <c r="E296" s="12">
        <v>4730375</v>
      </c>
    </row>
    <row r="297" spans="1:5" x14ac:dyDescent="0.35">
      <c r="A297" s="12" t="s">
        <v>37</v>
      </c>
      <c r="B297" s="12" t="s">
        <v>15</v>
      </c>
      <c r="C297" s="12" t="s">
        <v>6</v>
      </c>
      <c r="D297" s="12">
        <v>2264</v>
      </c>
      <c r="E297" s="12">
        <v>13998600</v>
      </c>
    </row>
    <row r="298" spans="1:5" x14ac:dyDescent="0.35">
      <c r="A298" s="12" t="s">
        <v>37</v>
      </c>
      <c r="B298" s="12" t="s">
        <v>15</v>
      </c>
      <c r="C298" s="12" t="s">
        <v>13</v>
      </c>
      <c r="D298" s="12">
        <v>3</v>
      </c>
      <c r="E298" s="12">
        <v>14400</v>
      </c>
    </row>
    <row r="299" spans="1:5" x14ac:dyDescent="0.35">
      <c r="A299" s="12" t="s">
        <v>37</v>
      </c>
      <c r="B299" s="12" t="s">
        <v>15</v>
      </c>
      <c r="C299" s="12" t="s">
        <v>14</v>
      </c>
      <c r="D299" s="12">
        <v>5</v>
      </c>
      <c r="E299" s="12">
        <v>23500</v>
      </c>
    </row>
    <row r="300" spans="1:5" x14ac:dyDescent="0.35">
      <c r="A300" s="12" t="s">
        <v>37</v>
      </c>
      <c r="B300" s="12" t="s">
        <v>15</v>
      </c>
      <c r="C300" s="12" t="s">
        <v>8</v>
      </c>
      <c r="D300" s="12">
        <v>2612</v>
      </c>
      <c r="E300" s="12">
        <v>13999025</v>
      </c>
    </row>
    <row r="301" spans="1:5" x14ac:dyDescent="0.35">
      <c r="A301" s="12" t="s">
        <v>37</v>
      </c>
      <c r="B301" s="12" t="s">
        <v>15</v>
      </c>
      <c r="C301" s="12" t="s">
        <v>9</v>
      </c>
      <c r="D301" s="12">
        <v>19</v>
      </c>
      <c r="E301" s="12">
        <v>156700</v>
      </c>
    </row>
    <row r="302" spans="1:5" x14ac:dyDescent="0.35">
      <c r="A302" s="12" t="s">
        <v>37</v>
      </c>
      <c r="B302" s="12" t="s">
        <v>15</v>
      </c>
      <c r="C302" s="12" t="s">
        <v>10</v>
      </c>
      <c r="D302" s="12">
        <v>10</v>
      </c>
      <c r="E302" s="12">
        <v>100000</v>
      </c>
    </row>
    <row r="303" spans="1:5" x14ac:dyDescent="0.35">
      <c r="A303" s="12" t="s">
        <v>37</v>
      </c>
      <c r="B303" s="12" t="s">
        <v>15</v>
      </c>
      <c r="C303" s="12" t="s">
        <v>11</v>
      </c>
      <c r="D303" s="12">
        <v>59</v>
      </c>
      <c r="E303" s="12">
        <v>479200</v>
      </c>
    </row>
    <row r="304" spans="1:5" x14ac:dyDescent="0.35">
      <c r="A304" s="12" t="s">
        <v>38</v>
      </c>
      <c r="B304" s="12" t="s">
        <v>4</v>
      </c>
      <c r="C304" s="12" t="s">
        <v>5</v>
      </c>
      <c r="D304" s="12">
        <v>36</v>
      </c>
      <c r="E304" s="12">
        <v>453825</v>
      </c>
    </row>
    <row r="305" spans="1:5" x14ac:dyDescent="0.35">
      <c r="A305" s="12" t="s">
        <v>38</v>
      </c>
      <c r="B305" s="12" t="s">
        <v>4</v>
      </c>
      <c r="C305" s="12" t="s">
        <v>6</v>
      </c>
      <c r="D305" s="12">
        <v>1</v>
      </c>
      <c r="E305" s="12">
        <v>14900</v>
      </c>
    </row>
    <row r="306" spans="1:5" x14ac:dyDescent="0.35">
      <c r="A306" s="12" t="s">
        <v>38</v>
      </c>
      <c r="B306" s="12" t="s">
        <v>4</v>
      </c>
      <c r="C306" s="12" t="s">
        <v>14</v>
      </c>
      <c r="D306" s="12">
        <v>4</v>
      </c>
      <c r="E306" s="12">
        <v>23900</v>
      </c>
    </row>
    <row r="307" spans="1:5" x14ac:dyDescent="0.35">
      <c r="A307" s="12" t="s">
        <v>38</v>
      </c>
      <c r="B307" s="12" t="s">
        <v>4</v>
      </c>
      <c r="C307" s="12" t="s">
        <v>8</v>
      </c>
      <c r="D307" s="12">
        <v>133</v>
      </c>
      <c r="E307" s="12">
        <v>1284675</v>
      </c>
    </row>
    <row r="308" spans="1:5" x14ac:dyDescent="0.35">
      <c r="A308" s="12" t="s">
        <v>38</v>
      </c>
      <c r="B308" s="12" t="s">
        <v>12</v>
      </c>
      <c r="C308" s="12" t="s">
        <v>5</v>
      </c>
      <c r="D308" s="12">
        <v>144</v>
      </c>
      <c r="E308" s="12">
        <v>1714275</v>
      </c>
    </row>
    <row r="309" spans="1:5" x14ac:dyDescent="0.35">
      <c r="A309" s="12" t="s">
        <v>38</v>
      </c>
      <c r="B309" s="12" t="s">
        <v>12</v>
      </c>
      <c r="C309" s="12" t="s">
        <v>6</v>
      </c>
      <c r="D309" s="12">
        <v>4</v>
      </c>
      <c r="E309" s="12">
        <v>61000</v>
      </c>
    </row>
    <row r="310" spans="1:5" x14ac:dyDescent="0.35">
      <c r="A310" s="12" t="s">
        <v>38</v>
      </c>
      <c r="B310" s="12" t="s">
        <v>12</v>
      </c>
      <c r="C310" s="12" t="s">
        <v>13</v>
      </c>
      <c r="D310" s="12">
        <v>5</v>
      </c>
      <c r="E310" s="12">
        <v>61600</v>
      </c>
    </row>
    <row r="311" spans="1:5" x14ac:dyDescent="0.35">
      <c r="A311" s="12" t="s">
        <v>38</v>
      </c>
      <c r="B311" s="12" t="s">
        <v>12</v>
      </c>
      <c r="C311" s="12" t="s">
        <v>14</v>
      </c>
      <c r="D311" s="12">
        <v>27</v>
      </c>
      <c r="E311" s="12">
        <v>203500</v>
      </c>
    </row>
    <row r="312" spans="1:5" x14ac:dyDescent="0.35">
      <c r="A312" s="12" t="s">
        <v>38</v>
      </c>
      <c r="B312" s="12" t="s">
        <v>12</v>
      </c>
      <c r="C312" s="12" t="s">
        <v>8</v>
      </c>
      <c r="D312" s="12">
        <v>1142</v>
      </c>
      <c r="E312" s="12">
        <v>11971500</v>
      </c>
    </row>
    <row r="313" spans="1:5" x14ac:dyDescent="0.35">
      <c r="A313" s="12" t="s">
        <v>38</v>
      </c>
      <c r="B313" s="12" t="s">
        <v>15</v>
      </c>
      <c r="C313" s="12" t="s">
        <v>5</v>
      </c>
      <c r="D313" s="12">
        <v>99</v>
      </c>
      <c r="E313" s="12">
        <v>1126650</v>
      </c>
    </row>
    <row r="314" spans="1:5" x14ac:dyDescent="0.35">
      <c r="A314" s="12" t="s">
        <v>38</v>
      </c>
      <c r="B314" s="12" t="s">
        <v>15</v>
      </c>
      <c r="C314" s="12" t="s">
        <v>13</v>
      </c>
      <c r="D314" s="12">
        <v>8</v>
      </c>
      <c r="E314" s="12">
        <v>53000</v>
      </c>
    </row>
    <row r="315" spans="1:5" x14ac:dyDescent="0.35">
      <c r="A315" s="12" t="s">
        <v>38</v>
      </c>
      <c r="B315" s="12" t="s">
        <v>15</v>
      </c>
      <c r="C315" s="12" t="s">
        <v>14</v>
      </c>
      <c r="D315" s="12">
        <v>12</v>
      </c>
      <c r="E315" s="12">
        <v>85100</v>
      </c>
    </row>
    <row r="316" spans="1:5" x14ac:dyDescent="0.35">
      <c r="A316" s="12" t="s">
        <v>38</v>
      </c>
      <c r="B316" s="12" t="s">
        <v>15</v>
      </c>
      <c r="C316" s="12" t="s">
        <v>8</v>
      </c>
      <c r="D316" s="12">
        <v>740</v>
      </c>
      <c r="E316" s="12">
        <v>7616725</v>
      </c>
    </row>
  </sheetData>
  <autoFilter ref="A5:E316" xr:uid="{075F73B8-0403-48FA-B509-BC25CEE863F8}"/>
  <sortState xmlns:xlrd2="http://schemas.microsoft.com/office/spreadsheetml/2017/richdata2" ref="A6:E316">
    <sortCondition ref="A10:A316"/>
  </sortState>
  <mergeCells count="1">
    <mergeCell ref="A1: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040C6-0E75-4196-A5FD-F29BEDE60A61}">
  <dimension ref="A1:E14"/>
  <sheetViews>
    <sheetView topLeftCell="A28" zoomScaleNormal="100" workbookViewId="0">
      <selection activeCell="F101" sqref="F101"/>
    </sheetView>
  </sheetViews>
  <sheetFormatPr defaultRowHeight="14.5" x14ac:dyDescent="0.35"/>
  <cols>
    <col min="1" max="1" width="28.1796875" bestFit="1" customWidth="1"/>
    <col min="2" max="2" width="15.90625" bestFit="1" customWidth="1"/>
    <col min="3" max="3" width="7" bestFit="1" customWidth="1"/>
    <col min="4" max="6" width="10.7265625" bestFit="1" customWidth="1"/>
    <col min="8" max="8" width="13.7265625" bestFit="1" customWidth="1"/>
    <col min="9" max="9" width="15.08984375" bestFit="1" customWidth="1"/>
    <col min="10" max="10" width="16.08984375" bestFit="1" customWidth="1"/>
    <col min="11" max="11" width="10.7265625" bestFit="1" customWidth="1"/>
  </cols>
  <sheetData>
    <row r="1" spans="1:5" x14ac:dyDescent="0.35">
      <c r="A1" s="17" t="s">
        <v>47</v>
      </c>
      <c r="B1" s="18"/>
      <c r="C1" s="18"/>
      <c r="D1" s="18"/>
      <c r="E1" s="18"/>
    </row>
    <row r="2" spans="1:5" x14ac:dyDescent="0.35">
      <c r="A2" s="18"/>
      <c r="B2" s="18"/>
      <c r="C2" s="18"/>
      <c r="D2" s="18"/>
      <c r="E2" s="18"/>
    </row>
    <row r="5" spans="1:5" x14ac:dyDescent="0.35">
      <c r="A5" s="1" t="s">
        <v>20</v>
      </c>
      <c r="B5" s="1" t="s">
        <v>21</v>
      </c>
    </row>
    <row r="6" spans="1:5" x14ac:dyDescent="0.35">
      <c r="A6" s="1" t="s">
        <v>18</v>
      </c>
      <c r="B6" t="s">
        <v>5</v>
      </c>
      <c r="C6" t="s">
        <v>7</v>
      </c>
      <c r="D6" t="s">
        <v>8</v>
      </c>
      <c r="E6" t="s">
        <v>19</v>
      </c>
    </row>
    <row r="7" spans="1:5" x14ac:dyDescent="0.35">
      <c r="A7" s="2" t="s">
        <v>4</v>
      </c>
      <c r="B7">
        <v>77188</v>
      </c>
      <c r="C7">
        <v>10</v>
      </c>
      <c r="D7">
        <v>208751</v>
      </c>
      <c r="E7">
        <v>285949</v>
      </c>
    </row>
    <row r="8" spans="1:5" x14ac:dyDescent="0.35">
      <c r="A8" s="2" t="s">
        <v>12</v>
      </c>
      <c r="B8">
        <v>79499</v>
      </c>
      <c r="C8">
        <v>8</v>
      </c>
      <c r="D8">
        <v>423292</v>
      </c>
      <c r="E8">
        <v>502799</v>
      </c>
    </row>
    <row r="9" spans="1:5" x14ac:dyDescent="0.35">
      <c r="A9" s="2" t="s">
        <v>15</v>
      </c>
      <c r="B9">
        <v>104968</v>
      </c>
      <c r="C9">
        <v>13</v>
      </c>
      <c r="D9">
        <v>409909</v>
      </c>
      <c r="E9">
        <v>514890</v>
      </c>
    </row>
    <row r="10" spans="1:5" x14ac:dyDescent="0.35">
      <c r="A10" s="2" t="s">
        <v>19</v>
      </c>
      <c r="B10">
        <v>261655</v>
      </c>
      <c r="C10">
        <v>31</v>
      </c>
      <c r="D10">
        <v>1041952</v>
      </c>
      <c r="E10">
        <v>1303638</v>
      </c>
    </row>
    <row r="13" spans="1:5" x14ac:dyDescent="0.35">
      <c r="A13" s="2"/>
    </row>
    <row r="14" spans="1:5" x14ac:dyDescent="0.35">
      <c r="A14" s="2"/>
    </row>
  </sheetData>
  <mergeCells count="1">
    <mergeCell ref="A1:E2"/>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F9C00-7B53-470F-9D09-0C51DF78FA12}">
  <dimension ref="A1:C6"/>
  <sheetViews>
    <sheetView topLeftCell="A7" workbookViewId="0">
      <selection activeCell="E13" sqref="E13"/>
    </sheetView>
  </sheetViews>
  <sheetFormatPr defaultRowHeight="14.5" x14ac:dyDescent="0.35"/>
  <cols>
    <col min="1" max="1" width="35.26953125" customWidth="1"/>
    <col min="3" max="3" width="35.08984375" customWidth="1"/>
  </cols>
  <sheetData>
    <row r="1" spans="1:3" x14ac:dyDescent="0.35">
      <c r="A1" s="19" t="s">
        <v>48</v>
      </c>
      <c r="B1" s="20"/>
      <c r="C1" s="20"/>
    </row>
    <row r="2" spans="1:3" x14ac:dyDescent="0.35">
      <c r="A2" s="20"/>
      <c r="B2" s="20"/>
      <c r="C2" s="20"/>
    </row>
    <row r="5" spans="1:3" x14ac:dyDescent="0.35">
      <c r="A5" t="s">
        <v>20</v>
      </c>
      <c r="C5" t="s">
        <v>22</v>
      </c>
    </row>
    <row r="6" spans="1:3" x14ac:dyDescent="0.35">
      <c r="A6">
        <v>2260668</v>
      </c>
      <c r="C6">
        <v>34016115925</v>
      </c>
    </row>
  </sheetData>
  <mergeCells count="1">
    <mergeCell ref="A1: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A6F40-F5F1-4E8A-B9F7-E5E2953FD3CD}">
  <dimension ref="A1:B20"/>
  <sheetViews>
    <sheetView workbookViewId="0">
      <selection activeCell="E8" sqref="E8"/>
    </sheetView>
  </sheetViews>
  <sheetFormatPr defaultRowHeight="14.5" x14ac:dyDescent="0.35"/>
  <cols>
    <col min="1" max="2" width="31.26953125" customWidth="1"/>
  </cols>
  <sheetData>
    <row r="1" spans="1:2" x14ac:dyDescent="0.35">
      <c r="A1" s="19" t="s">
        <v>46</v>
      </c>
      <c r="B1" s="20"/>
    </row>
    <row r="2" spans="1:2" x14ac:dyDescent="0.35">
      <c r="A2" s="20"/>
      <c r="B2" s="20"/>
    </row>
    <row r="5" spans="1:2" x14ac:dyDescent="0.35">
      <c r="A5" s="14" t="s">
        <v>18</v>
      </c>
      <c r="B5" s="11" t="s">
        <v>22</v>
      </c>
    </row>
    <row r="6" spans="1:2" x14ac:dyDescent="0.35">
      <c r="A6" s="2" t="s">
        <v>26</v>
      </c>
      <c r="B6">
        <v>11532783950</v>
      </c>
    </row>
    <row r="7" spans="1:2" x14ac:dyDescent="0.35">
      <c r="A7" s="2" t="s">
        <v>29</v>
      </c>
      <c r="B7">
        <v>4231167125</v>
      </c>
    </row>
    <row r="8" spans="1:2" x14ac:dyDescent="0.35">
      <c r="A8" s="2" t="s">
        <v>27</v>
      </c>
      <c r="B8">
        <v>1195837550</v>
      </c>
    </row>
    <row r="9" spans="1:2" x14ac:dyDescent="0.35">
      <c r="A9" s="2" t="s">
        <v>30</v>
      </c>
      <c r="B9">
        <v>736339250</v>
      </c>
    </row>
    <row r="10" spans="1:2" x14ac:dyDescent="0.35">
      <c r="A10" s="2" t="s">
        <v>31</v>
      </c>
      <c r="B10">
        <v>335252200</v>
      </c>
    </row>
    <row r="11" spans="1:2" x14ac:dyDescent="0.35">
      <c r="A11" s="2" t="s">
        <v>28</v>
      </c>
      <c r="B11">
        <v>234310425</v>
      </c>
    </row>
    <row r="12" spans="1:2" x14ac:dyDescent="0.35">
      <c r="A12" s="2" t="s">
        <v>32</v>
      </c>
      <c r="B12">
        <v>135208175</v>
      </c>
    </row>
    <row r="13" spans="1:2" x14ac:dyDescent="0.35">
      <c r="A13" s="2" t="s">
        <v>33</v>
      </c>
      <c r="B13">
        <v>124796525</v>
      </c>
    </row>
    <row r="14" spans="1:2" x14ac:dyDescent="0.35">
      <c r="A14" s="2" t="s">
        <v>35</v>
      </c>
      <c r="B14">
        <v>107039850</v>
      </c>
    </row>
    <row r="15" spans="1:2" x14ac:dyDescent="0.35">
      <c r="A15" s="2" t="s">
        <v>36</v>
      </c>
      <c r="B15">
        <v>72018275</v>
      </c>
    </row>
    <row r="16" spans="1:2" x14ac:dyDescent="0.35">
      <c r="A16" s="2" t="s">
        <v>37</v>
      </c>
      <c r="B16">
        <v>54080775</v>
      </c>
    </row>
    <row r="17" spans="1:2" x14ac:dyDescent="0.35">
      <c r="A17" s="2" t="s">
        <v>38</v>
      </c>
      <c r="B17">
        <v>24167650</v>
      </c>
    </row>
    <row r="18" spans="1:2" x14ac:dyDescent="0.35">
      <c r="A18" s="2" t="s">
        <v>42</v>
      </c>
      <c r="B18">
        <v>9120725</v>
      </c>
    </row>
    <row r="19" spans="1:2" x14ac:dyDescent="0.35">
      <c r="A19" s="2" t="s">
        <v>40</v>
      </c>
      <c r="B19">
        <v>2215600</v>
      </c>
    </row>
    <row r="20" spans="1:2" x14ac:dyDescent="0.35">
      <c r="A20" s="2" t="s">
        <v>19</v>
      </c>
      <c r="B20">
        <v>18794338075</v>
      </c>
    </row>
  </sheetData>
  <mergeCells count="1">
    <mergeCell ref="A1:B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82E7B-7B93-4E0B-8893-773E0A60647E}">
  <dimension ref="A1:D21"/>
  <sheetViews>
    <sheetView workbookViewId="0">
      <selection activeCell="J30" sqref="J30"/>
    </sheetView>
  </sheetViews>
  <sheetFormatPr defaultRowHeight="14.5" x14ac:dyDescent="0.35"/>
  <cols>
    <col min="1" max="4" width="23.6328125" customWidth="1"/>
  </cols>
  <sheetData>
    <row r="1" spans="1:4" x14ac:dyDescent="0.35">
      <c r="A1" s="19" t="s">
        <v>45</v>
      </c>
      <c r="B1" s="20"/>
      <c r="C1" s="20"/>
      <c r="D1" s="20"/>
    </row>
    <row r="2" spans="1:4" x14ac:dyDescent="0.35">
      <c r="A2" s="20"/>
      <c r="B2" s="20"/>
      <c r="C2" s="20"/>
      <c r="D2" s="20"/>
    </row>
    <row r="5" spans="1:4" x14ac:dyDescent="0.35">
      <c r="A5" s="1" t="s">
        <v>20</v>
      </c>
      <c r="B5" s="1" t="s">
        <v>21</v>
      </c>
    </row>
    <row r="6" spans="1:4" x14ac:dyDescent="0.35">
      <c r="A6" s="1" t="s">
        <v>18</v>
      </c>
      <c r="B6" t="s">
        <v>5</v>
      </c>
      <c r="C6" t="s">
        <v>7</v>
      </c>
      <c r="D6" t="s">
        <v>19</v>
      </c>
    </row>
    <row r="7" spans="1:4" x14ac:dyDescent="0.35">
      <c r="A7" s="2" t="s">
        <v>26</v>
      </c>
      <c r="B7">
        <v>161039</v>
      </c>
      <c r="C7">
        <v>19</v>
      </c>
      <c r="D7">
        <v>161058</v>
      </c>
    </row>
    <row r="8" spans="1:4" x14ac:dyDescent="0.35">
      <c r="A8" s="2" t="s">
        <v>29</v>
      </c>
      <c r="B8">
        <v>48646</v>
      </c>
      <c r="C8">
        <v>4</v>
      </c>
      <c r="D8">
        <v>48650</v>
      </c>
    </row>
    <row r="9" spans="1:4" x14ac:dyDescent="0.35">
      <c r="A9" s="2" t="s">
        <v>30</v>
      </c>
      <c r="B9">
        <v>15864</v>
      </c>
      <c r="C9">
        <v>3</v>
      </c>
      <c r="D9">
        <v>15867</v>
      </c>
    </row>
    <row r="10" spans="1:4" x14ac:dyDescent="0.35">
      <c r="A10" s="2" t="s">
        <v>41</v>
      </c>
      <c r="B10">
        <v>15085</v>
      </c>
      <c r="C10">
        <v>2</v>
      </c>
      <c r="D10">
        <v>15087</v>
      </c>
    </row>
    <row r="11" spans="1:4" x14ac:dyDescent="0.35">
      <c r="A11" s="2" t="s">
        <v>31</v>
      </c>
      <c r="B11">
        <v>5304</v>
      </c>
      <c r="D11">
        <v>5304</v>
      </c>
    </row>
    <row r="12" spans="1:4" x14ac:dyDescent="0.35">
      <c r="A12" s="2" t="s">
        <v>28</v>
      </c>
      <c r="B12">
        <v>4465</v>
      </c>
      <c r="D12">
        <v>4465</v>
      </c>
    </row>
    <row r="13" spans="1:4" x14ac:dyDescent="0.35">
      <c r="A13" s="2" t="s">
        <v>32</v>
      </c>
      <c r="B13">
        <v>3291</v>
      </c>
      <c r="C13">
        <v>1</v>
      </c>
      <c r="D13">
        <v>3292</v>
      </c>
    </row>
    <row r="14" spans="1:4" x14ac:dyDescent="0.35">
      <c r="A14" s="2" t="s">
        <v>36</v>
      </c>
      <c r="B14">
        <v>2150</v>
      </c>
      <c r="C14">
        <v>1</v>
      </c>
      <c r="D14">
        <v>2151</v>
      </c>
    </row>
    <row r="15" spans="1:4" x14ac:dyDescent="0.35">
      <c r="A15" s="2" t="s">
        <v>33</v>
      </c>
      <c r="B15">
        <v>2067</v>
      </c>
      <c r="C15">
        <v>1</v>
      </c>
      <c r="D15">
        <v>2068</v>
      </c>
    </row>
    <row r="16" spans="1:4" x14ac:dyDescent="0.35">
      <c r="A16" s="2" t="s">
        <v>37</v>
      </c>
      <c r="B16">
        <v>1680</v>
      </c>
      <c r="D16">
        <v>1680</v>
      </c>
    </row>
    <row r="17" spans="1:4" x14ac:dyDescent="0.35">
      <c r="A17" s="2" t="s">
        <v>35</v>
      </c>
      <c r="B17">
        <v>1513</v>
      </c>
      <c r="D17">
        <v>1513</v>
      </c>
    </row>
    <row r="18" spans="1:4" x14ac:dyDescent="0.35">
      <c r="A18" s="2" t="s">
        <v>38</v>
      </c>
      <c r="B18">
        <v>279</v>
      </c>
      <c r="D18">
        <v>279</v>
      </c>
    </row>
    <row r="19" spans="1:4" x14ac:dyDescent="0.35">
      <c r="A19" s="2" t="s">
        <v>42</v>
      </c>
      <c r="B19">
        <v>216</v>
      </c>
      <c r="D19">
        <v>216</v>
      </c>
    </row>
    <row r="20" spans="1:4" x14ac:dyDescent="0.35">
      <c r="A20" s="2" t="s">
        <v>40</v>
      </c>
      <c r="B20">
        <v>56</v>
      </c>
      <c r="D20">
        <v>56</v>
      </c>
    </row>
    <row r="21" spans="1:4" x14ac:dyDescent="0.35">
      <c r="A21" s="2" t="s">
        <v>19</v>
      </c>
      <c r="B21">
        <v>261655</v>
      </c>
      <c r="C21">
        <v>31</v>
      </c>
      <c r="D21">
        <v>261686</v>
      </c>
    </row>
  </sheetData>
  <mergeCells count="1">
    <mergeCell ref="A1:D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53D02-D7C1-4F97-99BA-95AD24083BE3}">
  <dimension ref="A1:AF65"/>
  <sheetViews>
    <sheetView showGridLines="0" tabSelected="1" topLeftCell="A13" zoomScale="40" zoomScaleNormal="40" workbookViewId="0">
      <selection activeCell="AK46" sqref="AK46"/>
    </sheetView>
  </sheetViews>
  <sheetFormatPr defaultRowHeight="14.5" x14ac:dyDescent="0.35"/>
  <cols>
    <col min="1" max="1" width="5.6328125" customWidth="1"/>
    <col min="22" max="22" width="16.26953125" customWidth="1"/>
    <col min="24" max="24" width="16.26953125" customWidth="1"/>
    <col min="25" max="25" width="10.6328125" customWidth="1"/>
    <col min="26" max="26" width="43.81640625" customWidth="1"/>
  </cols>
  <sheetData>
    <row r="1" spans="1:32" ht="14.5" customHeight="1" x14ac:dyDescent="0.35">
      <c r="A1" s="21" t="s">
        <v>23</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3"/>
    </row>
    <row r="2" spans="1:32" ht="14.5" customHeight="1" x14ac:dyDescent="0.35">
      <c r="A2" s="24"/>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6"/>
    </row>
    <row r="3" spans="1:32" ht="14.5" customHeight="1" x14ac:dyDescent="0.35">
      <c r="A3" s="24"/>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6"/>
    </row>
    <row r="4" spans="1:32" ht="14.5" customHeight="1" x14ac:dyDescent="0.35">
      <c r="A4" s="24"/>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6"/>
    </row>
    <row r="5" spans="1:32" ht="14.5" customHeight="1" x14ac:dyDescent="0.35">
      <c r="A5" s="24"/>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6"/>
    </row>
    <row r="6" spans="1:32" ht="14.5" customHeight="1" x14ac:dyDescent="0.35">
      <c r="A6" s="24"/>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6"/>
    </row>
    <row r="7" spans="1:32" ht="14.5" customHeight="1" x14ac:dyDescent="0.35">
      <c r="A7" s="24"/>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6"/>
    </row>
    <row r="8" spans="1:32" x14ac:dyDescent="0.35">
      <c r="A8" s="3"/>
      <c r="AF8" s="4"/>
    </row>
    <row r="9" spans="1:32" x14ac:dyDescent="0.35">
      <c r="A9" s="3"/>
      <c r="AF9" s="4"/>
    </row>
    <row r="10" spans="1:32" x14ac:dyDescent="0.35">
      <c r="A10" s="3"/>
      <c r="AF10" s="4"/>
    </row>
    <row r="11" spans="1:32" ht="23.5" x14ac:dyDescent="0.35">
      <c r="A11" s="3"/>
      <c r="Z11" s="10" t="s">
        <v>24</v>
      </c>
      <c r="AF11" s="4"/>
    </row>
    <row r="12" spans="1:32" ht="23.5" x14ac:dyDescent="0.55000000000000004">
      <c r="A12" s="3"/>
      <c r="Z12" s="8">
        <f>GETPIVOTDATA("total_peminjam",'Total Pembiayaan &amp; Peminjam'!$A$5)</f>
        <v>2260668</v>
      </c>
      <c r="AF12" s="4"/>
    </row>
    <row r="13" spans="1:32" x14ac:dyDescent="0.35">
      <c r="A13" s="3"/>
      <c r="AF13" s="4"/>
    </row>
    <row r="14" spans="1:32" x14ac:dyDescent="0.35">
      <c r="A14" s="3"/>
      <c r="AF14" s="4"/>
    </row>
    <row r="15" spans="1:32" ht="23.5" x14ac:dyDescent="0.35">
      <c r="A15" s="3"/>
      <c r="Z15" s="10" t="s">
        <v>25</v>
      </c>
      <c r="AF15" s="4"/>
    </row>
    <row r="16" spans="1:32" ht="23.5" x14ac:dyDescent="0.55000000000000004">
      <c r="A16" s="3"/>
      <c r="Z16" s="9">
        <f>GETPIVOTDATA("total_nominal_pinjaman",'Total Pembiayaan &amp; Peminjam'!$C$5)</f>
        <v>34016115925</v>
      </c>
      <c r="AF16" s="4"/>
    </row>
    <row r="17" spans="1:32" x14ac:dyDescent="0.35">
      <c r="A17" s="3"/>
      <c r="AF17" s="4"/>
    </row>
    <row r="18" spans="1:32" x14ac:dyDescent="0.35">
      <c r="A18" s="3"/>
      <c r="AF18" s="4"/>
    </row>
    <row r="19" spans="1:32" x14ac:dyDescent="0.35">
      <c r="A19" s="3"/>
      <c r="AF19" s="4"/>
    </row>
    <row r="20" spans="1:32" x14ac:dyDescent="0.35">
      <c r="A20" s="3"/>
      <c r="AF20" s="4"/>
    </row>
    <row r="21" spans="1:32" x14ac:dyDescent="0.35">
      <c r="A21" s="3"/>
      <c r="AF21" s="4"/>
    </row>
    <row r="22" spans="1:32" x14ac:dyDescent="0.35">
      <c r="A22" s="3"/>
      <c r="AF22" s="4"/>
    </row>
    <row r="23" spans="1:32" x14ac:dyDescent="0.35">
      <c r="A23" s="3"/>
      <c r="AF23" s="4"/>
    </row>
    <row r="24" spans="1:32" x14ac:dyDescent="0.35">
      <c r="A24" s="3"/>
      <c r="AF24" s="4"/>
    </row>
    <row r="25" spans="1:32" x14ac:dyDescent="0.35">
      <c r="A25" s="3"/>
      <c r="AF25" s="4"/>
    </row>
    <row r="26" spans="1:32" x14ac:dyDescent="0.35">
      <c r="A26" s="3"/>
      <c r="AF26" s="4"/>
    </row>
    <row r="27" spans="1:32" x14ac:dyDescent="0.35">
      <c r="A27" s="3"/>
      <c r="AF27" s="4"/>
    </row>
    <row r="28" spans="1:32" x14ac:dyDescent="0.35">
      <c r="A28" s="3"/>
      <c r="AF28" s="4"/>
    </row>
    <row r="29" spans="1:32" x14ac:dyDescent="0.35">
      <c r="A29" s="3"/>
      <c r="AF29" s="4"/>
    </row>
    <row r="30" spans="1:32" x14ac:dyDescent="0.35">
      <c r="A30" s="3"/>
      <c r="AF30" s="4"/>
    </row>
    <row r="31" spans="1:32" x14ac:dyDescent="0.35">
      <c r="A31" s="3"/>
      <c r="AF31" s="4"/>
    </row>
    <row r="32" spans="1:32" x14ac:dyDescent="0.35">
      <c r="A32" s="3"/>
      <c r="AF32" s="4"/>
    </row>
    <row r="33" spans="1:32" x14ac:dyDescent="0.35">
      <c r="A33" s="3"/>
      <c r="AF33" s="4"/>
    </row>
    <row r="34" spans="1:32" x14ac:dyDescent="0.35">
      <c r="A34" s="3"/>
      <c r="AF34" s="4"/>
    </row>
    <row r="35" spans="1:32" x14ac:dyDescent="0.35">
      <c r="A35" s="3"/>
      <c r="AF35" s="4"/>
    </row>
    <row r="36" spans="1:32" x14ac:dyDescent="0.35">
      <c r="A36" s="3"/>
      <c r="AF36" s="4"/>
    </row>
    <row r="37" spans="1:32" x14ac:dyDescent="0.35">
      <c r="A37" s="3"/>
      <c r="AF37" s="4"/>
    </row>
    <row r="38" spans="1:32" x14ac:dyDescent="0.35">
      <c r="A38" s="3"/>
      <c r="AF38" s="4"/>
    </row>
    <row r="39" spans="1:32" x14ac:dyDescent="0.35">
      <c r="A39" s="3"/>
      <c r="AF39" s="4"/>
    </row>
    <row r="40" spans="1:32" x14ac:dyDescent="0.35">
      <c r="A40" s="3"/>
      <c r="AF40" s="4"/>
    </row>
    <row r="41" spans="1:32" x14ac:dyDescent="0.35">
      <c r="A41" s="3"/>
      <c r="AF41" s="4"/>
    </row>
    <row r="42" spans="1:32" x14ac:dyDescent="0.35">
      <c r="A42" s="3"/>
      <c r="AF42" s="4"/>
    </row>
    <row r="43" spans="1:32" x14ac:dyDescent="0.35">
      <c r="A43" s="3"/>
      <c r="AF43" s="4"/>
    </row>
    <row r="44" spans="1:32" x14ac:dyDescent="0.35">
      <c r="A44" s="3"/>
      <c r="AF44" s="4"/>
    </row>
    <row r="45" spans="1:32" x14ac:dyDescent="0.35">
      <c r="A45" s="3"/>
      <c r="AF45" s="4"/>
    </row>
    <row r="46" spans="1:32" x14ac:dyDescent="0.35">
      <c r="A46" s="3"/>
      <c r="AF46" s="4"/>
    </row>
    <row r="47" spans="1:32" x14ac:dyDescent="0.35">
      <c r="A47" s="3"/>
      <c r="AF47" s="4"/>
    </row>
    <row r="48" spans="1:32" x14ac:dyDescent="0.35">
      <c r="A48" s="3"/>
      <c r="AF48" s="4"/>
    </row>
    <row r="49" spans="1:32" x14ac:dyDescent="0.35">
      <c r="A49" s="3"/>
      <c r="AF49" s="4"/>
    </row>
    <row r="50" spans="1:32" x14ac:dyDescent="0.35">
      <c r="A50" s="3"/>
      <c r="AF50" s="4"/>
    </row>
    <row r="51" spans="1:32" x14ac:dyDescent="0.35">
      <c r="A51" s="3"/>
      <c r="AF51" s="4"/>
    </row>
    <row r="52" spans="1:32" x14ac:dyDescent="0.35">
      <c r="A52" s="3"/>
      <c r="AF52" s="4"/>
    </row>
    <row r="53" spans="1:32" x14ac:dyDescent="0.35">
      <c r="A53" s="3"/>
      <c r="AF53" s="4"/>
    </row>
    <row r="54" spans="1:32" x14ac:dyDescent="0.35">
      <c r="A54" s="3"/>
      <c r="AF54" s="4"/>
    </row>
    <row r="55" spans="1:32" x14ac:dyDescent="0.35">
      <c r="A55" s="3"/>
      <c r="AF55" s="4"/>
    </row>
    <row r="56" spans="1:32" x14ac:dyDescent="0.35">
      <c r="A56" s="3"/>
      <c r="AF56" s="4"/>
    </row>
    <row r="57" spans="1:32" x14ac:dyDescent="0.35">
      <c r="A57" s="3"/>
      <c r="AF57" s="4"/>
    </row>
    <row r="58" spans="1:32" x14ac:dyDescent="0.35">
      <c r="A58" s="3"/>
      <c r="AF58" s="4"/>
    </row>
    <row r="59" spans="1:32" x14ac:dyDescent="0.35">
      <c r="A59" s="3"/>
      <c r="AF59" s="4"/>
    </row>
    <row r="60" spans="1:32" x14ac:dyDescent="0.35">
      <c r="A60" s="3"/>
      <c r="AF60" s="4"/>
    </row>
    <row r="61" spans="1:32" x14ac:dyDescent="0.35">
      <c r="A61" s="3"/>
      <c r="AF61" s="4"/>
    </row>
    <row r="62" spans="1:32" x14ac:dyDescent="0.35">
      <c r="A62" s="3"/>
      <c r="AF62" s="4"/>
    </row>
    <row r="63" spans="1:32" x14ac:dyDescent="0.35">
      <c r="A63" s="3"/>
      <c r="AF63" s="4"/>
    </row>
    <row r="64" spans="1:32" x14ac:dyDescent="0.35">
      <c r="A64" s="3"/>
      <c r="AF64" s="4"/>
    </row>
    <row r="65" spans="1:32" x14ac:dyDescent="0.35">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7"/>
    </row>
  </sheetData>
  <mergeCells count="1">
    <mergeCell ref="A1:AF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Loan Status By Risk Profile</vt:lpstr>
      <vt:lpstr>Total Pembiayaan &amp; Peminjam</vt:lpstr>
      <vt:lpstr>Total Loan Amount By Purpose</vt:lpstr>
      <vt:lpstr>Default Volume by Loan Purpose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Winanaa</dc:creator>
  <cp:lastModifiedBy>wina nur annisa</cp:lastModifiedBy>
  <cp:lastPrinted>2026-04-24T01:41:53Z</cp:lastPrinted>
  <dcterms:created xsi:type="dcterms:W3CDTF">2026-04-23T04:08:04Z</dcterms:created>
  <dcterms:modified xsi:type="dcterms:W3CDTF">2026-04-24T01:43:07Z</dcterms:modified>
</cp:coreProperties>
</file>